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cores" sheetId="1" r:id="rId4"/>
    <sheet state="visible" name="Weights" sheetId="2" r:id="rId5"/>
    <sheet state="visible" name="SHI_Results" sheetId="3" r:id="rId6"/>
    <sheet state="visible" name="Legend" sheetId="4" r:id="rId7"/>
  </sheets>
  <definedNames/>
  <calcPr/>
  <extLst>
    <ext uri="GoogleSheetsCustomDataVersion2">
      <go:sheetsCustomData xmlns:go="http://customooxmlschemas.google.com/" r:id="rId8" roundtripDataChecksum="zmo9miHOAN+qbq34onCE7L98XT+kw+hdt8u7+Y8pQ8k="/>
    </ext>
  </extLst>
</workbook>
</file>

<file path=xl/sharedStrings.xml><?xml version="1.0" encoding="utf-8"?>
<sst xmlns="http://schemas.openxmlformats.org/spreadsheetml/2006/main" count="1404" uniqueCount="356">
  <si>
    <t>Depth</t>
  </si>
  <si>
    <t>Vegetation</t>
  </si>
  <si>
    <t>Profile</t>
  </si>
  <si>
    <t>Identifier</t>
  </si>
  <si>
    <t>ID_code</t>
  </si>
  <si>
    <t>Sand</t>
  </si>
  <si>
    <t>Silt</t>
  </si>
  <si>
    <t>Clay</t>
  </si>
  <si>
    <t>pH</t>
  </si>
  <si>
    <t>CTC</t>
  </si>
  <si>
    <t>N</t>
  </si>
  <si>
    <t>P</t>
  </si>
  <si>
    <t>SB</t>
  </si>
  <si>
    <t>C</t>
  </si>
  <si>
    <t>BD_Benites_2007</t>
  </si>
  <si>
    <t>score_pH</t>
  </si>
  <si>
    <t>score_CTC</t>
  </si>
  <si>
    <t>score_N</t>
  </si>
  <si>
    <t>score_P</t>
  </si>
  <si>
    <t>score_SB</t>
  </si>
  <si>
    <t>score_C</t>
  </si>
  <si>
    <t>score_BD</t>
  </si>
  <si>
    <t>P20</t>
  </si>
  <si>
    <t>SSF</t>
  </si>
  <si>
    <t>S102</t>
  </si>
  <si>
    <t>S39</t>
  </si>
  <si>
    <t>P40</t>
  </si>
  <si>
    <t>S102,1</t>
  </si>
  <si>
    <t>S73</t>
  </si>
  <si>
    <t>P60</t>
  </si>
  <si>
    <t>S102,2</t>
  </si>
  <si>
    <t>S107</t>
  </si>
  <si>
    <t>P80</t>
  </si>
  <si>
    <t>S102,3</t>
  </si>
  <si>
    <t>S141</t>
  </si>
  <si>
    <t>P100</t>
  </si>
  <si>
    <t>S102,4</t>
  </si>
  <si>
    <t>S175</t>
  </si>
  <si>
    <t>S31</t>
  </si>
  <si>
    <t>S11</t>
  </si>
  <si>
    <t>S31,1</t>
  </si>
  <si>
    <t>S45</t>
  </si>
  <si>
    <t>S31,2</t>
  </si>
  <si>
    <t>S79</t>
  </si>
  <si>
    <t>S31,3</t>
  </si>
  <si>
    <t>S113</t>
  </si>
  <si>
    <t>S31,4</t>
  </si>
  <si>
    <t>S147</t>
  </si>
  <si>
    <t>S71</t>
  </si>
  <si>
    <t>S28</t>
  </si>
  <si>
    <t>S71,1</t>
  </si>
  <si>
    <t>S62</t>
  </si>
  <si>
    <t>S71,2</t>
  </si>
  <si>
    <t>S96</t>
  </si>
  <si>
    <t>S71,3</t>
  </si>
  <si>
    <t>S130</t>
  </si>
  <si>
    <t>S71,4</t>
  </si>
  <si>
    <t>S164</t>
  </si>
  <si>
    <t>S72</t>
  </si>
  <si>
    <t>S29</t>
  </si>
  <si>
    <t>S72,1</t>
  </si>
  <si>
    <t>S63</t>
  </si>
  <si>
    <t>S72,2</t>
  </si>
  <si>
    <t>S97</t>
  </si>
  <si>
    <t>S72,3</t>
  </si>
  <si>
    <t>S131</t>
  </si>
  <si>
    <t>S72,4</t>
  </si>
  <si>
    <t>S165</t>
  </si>
  <si>
    <t>S81</t>
  </si>
  <si>
    <t>S81,1</t>
  </si>
  <si>
    <t>S65</t>
  </si>
  <si>
    <t>S81,2</t>
  </si>
  <si>
    <t>S99</t>
  </si>
  <si>
    <t>S81,3</t>
  </si>
  <si>
    <t>S133</t>
  </si>
  <si>
    <t>S81,4</t>
  </si>
  <si>
    <t>S167</t>
  </si>
  <si>
    <t>S82</t>
  </si>
  <si>
    <t>S32</t>
  </si>
  <si>
    <t>S82,1</t>
  </si>
  <si>
    <t>S66</t>
  </si>
  <si>
    <t>S82,2</t>
  </si>
  <si>
    <t>S100</t>
  </si>
  <si>
    <t>S82,3</t>
  </si>
  <si>
    <t>S134</t>
  </si>
  <si>
    <t>S82,4</t>
  </si>
  <si>
    <t>S168</t>
  </si>
  <si>
    <t>DWS</t>
  </si>
  <si>
    <t>S101</t>
  </si>
  <si>
    <t>S38</t>
  </si>
  <si>
    <t>S101,1</t>
  </si>
  <si>
    <t>S101,2</t>
  </si>
  <si>
    <t>S106</t>
  </si>
  <si>
    <t>S101,3</t>
  </si>
  <si>
    <t>S140</t>
  </si>
  <si>
    <t>S101,4</t>
  </si>
  <si>
    <t>S174</t>
  </si>
  <si>
    <t>S103</t>
  </si>
  <si>
    <t>S40</t>
  </si>
  <si>
    <t>S103,1</t>
  </si>
  <si>
    <t>S74</t>
  </si>
  <si>
    <t>S103,2</t>
  </si>
  <si>
    <t>S108</t>
  </si>
  <si>
    <t>S103,3</t>
  </si>
  <si>
    <t>S142</t>
  </si>
  <si>
    <t>S103,4</t>
  </si>
  <si>
    <t>S176</t>
  </si>
  <si>
    <t>S22</t>
  </si>
  <si>
    <t>S9</t>
  </si>
  <si>
    <t>S22,1</t>
  </si>
  <si>
    <t>S43</t>
  </si>
  <si>
    <t>S22,2</t>
  </si>
  <si>
    <t>S77</t>
  </si>
  <si>
    <t>S22,3</t>
  </si>
  <si>
    <t>S111</t>
  </si>
  <si>
    <t>S22,4</t>
  </si>
  <si>
    <t>S145</t>
  </si>
  <si>
    <t>S23</t>
  </si>
  <si>
    <t>S10</t>
  </si>
  <si>
    <t>S23,1</t>
  </si>
  <si>
    <t>S44</t>
  </si>
  <si>
    <t>S23,2</t>
  </si>
  <si>
    <t>S78</t>
  </si>
  <si>
    <t>S23,3</t>
  </si>
  <si>
    <t>S112</t>
  </si>
  <si>
    <t>S23,4</t>
  </si>
  <si>
    <t>S146</t>
  </si>
  <si>
    <t>S12</t>
  </si>
  <si>
    <t>S32,1</t>
  </si>
  <si>
    <t>S46</t>
  </si>
  <si>
    <t>S32,2</t>
  </si>
  <si>
    <t>S80</t>
  </si>
  <si>
    <t>S32,3</t>
  </si>
  <si>
    <t>S114</t>
  </si>
  <si>
    <t>S32,4</t>
  </si>
  <si>
    <t>S148</t>
  </si>
  <si>
    <t>S33</t>
  </si>
  <si>
    <t>S13</t>
  </si>
  <si>
    <t>S33,1</t>
  </si>
  <si>
    <t>S47</t>
  </si>
  <si>
    <t>S33,2</t>
  </si>
  <si>
    <t>S33,3</t>
  </si>
  <si>
    <t>S115</t>
  </si>
  <si>
    <t>S33,4</t>
  </si>
  <si>
    <t>S149</t>
  </si>
  <si>
    <t>S34</t>
  </si>
  <si>
    <t>S14</t>
  </si>
  <si>
    <t>S34,1</t>
  </si>
  <si>
    <t>S48</t>
  </si>
  <si>
    <t>S34,2</t>
  </si>
  <si>
    <t>S34,3</t>
  </si>
  <si>
    <t>S116</t>
  </si>
  <si>
    <t>S34,4</t>
  </si>
  <si>
    <t>S150</t>
  </si>
  <si>
    <t>S41</t>
  </si>
  <si>
    <t>S15</t>
  </si>
  <si>
    <t>S41,1</t>
  </si>
  <si>
    <t>S49</t>
  </si>
  <si>
    <t>S41,2</t>
  </si>
  <si>
    <t>S83</t>
  </si>
  <si>
    <t>S41,3</t>
  </si>
  <si>
    <t>S117</t>
  </si>
  <si>
    <t>S41,4</t>
  </si>
  <si>
    <t>S151</t>
  </si>
  <si>
    <t>S25</t>
  </si>
  <si>
    <t>S62,1</t>
  </si>
  <si>
    <t>S59</t>
  </si>
  <si>
    <t>S62,2</t>
  </si>
  <si>
    <t>S93</t>
  </si>
  <si>
    <t>S62,3</t>
  </si>
  <si>
    <t>S127</t>
  </si>
  <si>
    <t>S62,4</t>
  </si>
  <si>
    <t>S161</t>
  </si>
  <si>
    <t>S30</t>
  </si>
  <si>
    <t>S73,1</t>
  </si>
  <si>
    <t>S64</t>
  </si>
  <si>
    <t>S73,2</t>
  </si>
  <si>
    <t>S98</t>
  </si>
  <si>
    <t>S73,3</t>
  </si>
  <si>
    <t>S132</t>
  </si>
  <si>
    <t>S73,4</t>
  </si>
  <si>
    <t>S166</t>
  </si>
  <si>
    <t>S83,1</t>
  </si>
  <si>
    <t>S67</t>
  </si>
  <si>
    <t>S83,2</t>
  </si>
  <si>
    <t>S83,3</t>
  </si>
  <si>
    <t>S135</t>
  </si>
  <si>
    <t>S83,4</t>
  </si>
  <si>
    <t>S169</t>
  </si>
  <si>
    <t>S91</t>
  </si>
  <si>
    <t>S35</t>
  </si>
  <si>
    <t>S91,1</t>
  </si>
  <si>
    <t>S69</t>
  </si>
  <si>
    <t>S91,2</t>
  </si>
  <si>
    <t>S91,3</t>
  </si>
  <si>
    <t>S137</t>
  </si>
  <si>
    <t>S91,4</t>
  </si>
  <si>
    <t>S171</t>
  </si>
  <si>
    <t>S92</t>
  </si>
  <si>
    <t>S36</t>
  </si>
  <si>
    <t>S92,1</t>
  </si>
  <si>
    <t>S70</t>
  </si>
  <si>
    <t>S92,2</t>
  </si>
  <si>
    <t>S104</t>
  </si>
  <si>
    <t>S92,3</t>
  </si>
  <si>
    <t>S138</t>
  </si>
  <si>
    <t>S92,4</t>
  </si>
  <si>
    <t>S172</t>
  </si>
  <si>
    <t>S37</t>
  </si>
  <si>
    <t>S93,1</t>
  </si>
  <si>
    <t>S93,2</t>
  </si>
  <si>
    <t>S105</t>
  </si>
  <si>
    <t>S93,3</t>
  </si>
  <si>
    <t>S139</t>
  </si>
  <si>
    <t>S93,4</t>
  </si>
  <si>
    <t>S173</t>
  </si>
  <si>
    <t>DA</t>
  </si>
  <si>
    <t>S42</t>
  </si>
  <si>
    <t>S16</t>
  </si>
  <si>
    <t>S42,1</t>
  </si>
  <si>
    <t>S50</t>
  </si>
  <si>
    <t>S42,2</t>
  </si>
  <si>
    <t>S84</t>
  </si>
  <si>
    <t>S42,3</t>
  </si>
  <si>
    <t>S118</t>
  </si>
  <si>
    <t>S42,4</t>
  </si>
  <si>
    <t>S152</t>
  </si>
  <si>
    <t>S17</t>
  </si>
  <si>
    <t>S43,1</t>
  </si>
  <si>
    <t>S51</t>
  </si>
  <si>
    <t>S43,2</t>
  </si>
  <si>
    <t>S85</t>
  </si>
  <si>
    <t>S43,3</t>
  </si>
  <si>
    <t>S119</t>
  </si>
  <si>
    <t>S43,4</t>
  </si>
  <si>
    <t>S153</t>
  </si>
  <si>
    <t>S18</t>
  </si>
  <si>
    <t>S44,1</t>
  </si>
  <si>
    <t>S52</t>
  </si>
  <si>
    <t>S44,2</t>
  </si>
  <si>
    <t>S86</t>
  </si>
  <si>
    <t>S44,3</t>
  </si>
  <si>
    <t>S120</t>
  </si>
  <si>
    <t>S44,4</t>
  </si>
  <si>
    <t>S154</t>
  </si>
  <si>
    <t>S20</t>
  </si>
  <si>
    <t>S52,1</t>
  </si>
  <si>
    <t>S54</t>
  </si>
  <si>
    <t>S52,2</t>
  </si>
  <si>
    <t>S88</t>
  </si>
  <si>
    <t>S52,3</t>
  </si>
  <si>
    <t>S122</t>
  </si>
  <si>
    <t>S52,4</t>
  </si>
  <si>
    <t>S156</t>
  </si>
  <si>
    <t>S53</t>
  </si>
  <si>
    <t>S21</t>
  </si>
  <si>
    <t>S53,1</t>
  </si>
  <si>
    <t>S55</t>
  </si>
  <si>
    <t>S53,2</t>
  </si>
  <si>
    <t>S89</t>
  </si>
  <si>
    <t>S53,3</t>
  </si>
  <si>
    <t>S123</t>
  </si>
  <si>
    <t>S53,4</t>
  </si>
  <si>
    <t>S157</t>
  </si>
  <si>
    <t>S54,1</t>
  </si>
  <si>
    <t>S56</t>
  </si>
  <si>
    <t>S54,2</t>
  </si>
  <si>
    <t>S90</t>
  </si>
  <si>
    <t>S54,3</t>
  </si>
  <si>
    <t>S124</t>
  </si>
  <si>
    <t>S54,4</t>
  </si>
  <si>
    <t>S158</t>
  </si>
  <si>
    <t>S55,1</t>
  </si>
  <si>
    <t>S57</t>
  </si>
  <si>
    <t>S55,2</t>
  </si>
  <si>
    <t>S55,3</t>
  </si>
  <si>
    <t>S125</t>
  </si>
  <si>
    <t>S55,4</t>
  </si>
  <si>
    <t>S159</t>
  </si>
  <si>
    <t>S26</t>
  </si>
  <si>
    <t>S63,1</t>
  </si>
  <si>
    <t>S60</t>
  </si>
  <si>
    <t>S63,2</t>
  </si>
  <si>
    <t>S94</t>
  </si>
  <si>
    <t>S63,3</t>
  </si>
  <si>
    <t>S128</t>
  </si>
  <si>
    <t>S63,4</t>
  </si>
  <si>
    <t>S162</t>
  </si>
  <si>
    <t>S27</t>
  </si>
  <si>
    <t>S65,1</t>
  </si>
  <si>
    <t>S61</t>
  </si>
  <si>
    <t>S65,2</t>
  </si>
  <si>
    <t>S95</t>
  </si>
  <si>
    <t>S65,3</t>
  </si>
  <si>
    <t>S129</t>
  </si>
  <si>
    <t>S65,4</t>
  </si>
  <si>
    <t>S163</t>
  </si>
  <si>
    <t>Component</t>
  </si>
  <si>
    <t>Weight I</t>
  </si>
  <si>
    <t>Soil Function</t>
  </si>
  <si>
    <t>Weight II</t>
  </si>
  <si>
    <t>Indicator</t>
  </si>
  <si>
    <t>Weight III</t>
  </si>
  <si>
    <t>Physical</t>
  </si>
  <si>
    <t>Support root growth</t>
  </si>
  <si>
    <t>BD</t>
  </si>
  <si>
    <t>Biological</t>
  </si>
  <si>
    <t>Sustain biological activity</t>
  </si>
  <si>
    <t>Chemical</t>
  </si>
  <si>
    <t>Soil acidity regulation</t>
  </si>
  <si>
    <t>Nutrient storage</t>
  </si>
  <si>
    <t>Nutrient availability</t>
  </si>
  <si>
    <t>SHI_Physical</t>
  </si>
  <si>
    <t>SHI_Biological</t>
  </si>
  <si>
    <t>SHI_Chem_pH</t>
  </si>
  <si>
    <t>SHI_Chem_CTC</t>
  </si>
  <si>
    <t>SHI_Chem_Navail</t>
  </si>
  <si>
    <t>SHI_Chemical</t>
  </si>
  <si>
    <t>SHI_Layer</t>
  </si>
  <si>
    <t>Overall_SHI</t>
  </si>
  <si>
    <t>Legend, Color Key &amp; Formula Guide</t>
  </si>
  <si>
    <t>CORES — aba Data_Scores</t>
  </si>
  <si>
    <t>Fundo verde claro</t>
  </si>
  <si>
    <t>SSF — Seasonal Semideciduous Forest</t>
  </si>
  <si>
    <t>Fundo azul claro</t>
  </si>
  <si>
    <t>DWS — Densely Wooded Savanna</t>
  </si>
  <si>
    <t>Fundo salmão</t>
  </si>
  <si>
    <t>DA — Deforested Area</t>
  </si>
  <si>
    <t>Célula verde + texto branco negrito</t>
  </si>
  <si>
    <t>Maior valor na camada (variáveis: pH, CTC, N, P, SB, C)</t>
  </si>
  <si>
    <t>Célula laranja + texto branco negrito</t>
  </si>
  <si>
    <t>Menor BD na camada (menor densidade = melhor)</t>
  </si>
  <si>
    <t>Texto azul escuro (colunas score)</t>
  </si>
  <si>
    <t>Fórmula de normalização</t>
  </si>
  <si>
    <t>FÓRMULAS DE NORMALIZAÇÃO</t>
  </si>
  <si>
    <t>Mais é melhor (pH, CTC, N, P, SB, C)</t>
  </si>
  <si>
    <t>score = x / MAX(mesma camada)   →   maior valor recebe 1</t>
  </si>
  <si>
    <t>Menos é melhor (BD_Benites_2007)</t>
  </si>
  <si>
    <t>score = MIN(mesma camada) / x   →   menor valor recebe 1</t>
  </si>
  <si>
    <t>Exemplo score_pH (col P):</t>
  </si>
  <si>
    <t xml:space="preserve"> =I4/SUMPRODUCT(MAX(($A$4:$A$148=A4)*$I$4:$I$148))</t>
  </si>
  <si>
    <t>Exemplo score_BD (col V):</t>
  </si>
  <si>
    <t xml:space="preserve"> =SUMPRODUCT(MIN(IF($A$4:$A$148=A4,$O$4:$O$148,1E+99)))/O4</t>
  </si>
  <si>
    <t>Critério A4 (sem $):</t>
  </si>
  <si>
    <t>Relativo, ao copiar para baixo lê automaticamente a camada de cada linha</t>
  </si>
  <si>
    <t>PONDERAÇÃO — aba SHI_Results</t>
  </si>
  <si>
    <t xml:space="preserve"> =score_bd × 0.33</t>
  </si>
  <si>
    <t xml:space="preserve"> =score_c × 0.33</t>
  </si>
  <si>
    <t xml:space="preserve"> =score_ph × 0.33 × 0.33</t>
  </si>
  <si>
    <t xml:space="preserve"> =score_ctc × 0.33 × 0.33</t>
  </si>
  <si>
    <t xml:space="preserve"> =(score_n + score_p + score_sb) × 0.33 × 0.33 × 0.33</t>
  </si>
  <si>
    <t xml:space="preserve"> =shi_chem_ph + shi_chem_ctc + shi_chem_navail</t>
  </si>
  <si>
    <t xml:space="preserve"> =shi_physical + shi_biological + shi_chemical</t>
  </si>
  <si>
    <t xml:space="preserve"> =(shi_p20 + shi_p40 + shi_p60 + shi_p80 + shi_p100) × 0.20</t>
  </si>
  <si>
    <t>NOTA</t>
  </si>
  <si>
    <t>Perfil S51 (DWS) removido por ser outlier em BD, C, CTC e demais variáveis em P20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</si>
</sst>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00"/>
  </numFmts>
  <fonts count="9">
    <font>
      <sz val="11.0"/>
      <color theme="1"/>
      <name val="Calibri"/>
      <scheme val="minor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1F3864"/>
      <name val="Arial"/>
    </font>
    <font>
      <sz val="11.0"/>
      <color theme="1"/>
      <name val="Calibri"/>
    </font>
    <font>
      <b/>
      <sz val="9.0"/>
      <color rgb="FF2E75B6"/>
      <name val="Arial"/>
    </font>
    <font>
      <b/>
      <sz val="10.0"/>
      <color rgb="FFFFFFFF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rgb="FFFF6B35"/>
        <bgColor rgb="FFFF6B35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3" numFmtId="2" xfId="0" applyAlignment="1" applyBorder="1" applyFont="1" applyNumberForma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1" fillId="4" fontId="3" numFmtId="165" xfId="0" applyAlignment="1" applyBorder="1" applyFont="1" applyNumberFormat="1">
      <alignment horizontal="center" vertical="center"/>
    </xf>
    <xf borderId="1" fillId="4" fontId="3" numFmtId="166" xfId="0" applyAlignment="1" applyBorder="1" applyFont="1" applyNumberFormat="1">
      <alignment horizontal="center" vertical="center"/>
    </xf>
    <xf borderId="1" fillId="4" fontId="4" numFmtId="165" xfId="0" applyAlignment="1" applyBorder="1" applyFont="1" applyNumberFormat="1">
      <alignment horizontal="center" vertical="center"/>
    </xf>
    <xf borderId="1" fillId="5" fontId="1" numFmtId="164" xfId="0" applyAlignment="1" applyBorder="1" applyFill="1" applyFont="1" applyNumberFormat="1">
      <alignment horizontal="center" vertical="center"/>
    </xf>
    <xf borderId="1" fillId="5" fontId="1" numFmtId="165" xfId="0" applyAlignment="1" applyBorder="1" applyFont="1" applyNumberFormat="1">
      <alignment horizontal="center" vertical="center"/>
    </xf>
    <xf borderId="1" fillId="6" fontId="1" numFmtId="166" xfId="0" applyAlignment="1" applyBorder="1" applyFill="1" applyFont="1" applyNumberFormat="1">
      <alignment horizontal="center" vertical="center"/>
    </xf>
    <xf borderId="0" fillId="0" fontId="5" numFmtId="2" xfId="0" applyFont="1" applyNumberFormat="1"/>
    <xf borderId="1" fillId="5" fontId="1" numFmtId="2" xfId="0" applyAlignment="1" applyBorder="1" applyFont="1" applyNumberForma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7" fontId="3" numFmtId="2" xfId="0" applyAlignment="1" applyBorder="1" applyFont="1" applyNumberFormat="1">
      <alignment horizontal="center" vertical="center"/>
    </xf>
    <xf borderId="1" fillId="7" fontId="3" numFmtId="164" xfId="0" applyAlignment="1" applyBorder="1" applyFont="1" applyNumberFormat="1">
      <alignment horizontal="center" vertical="center"/>
    </xf>
    <xf borderId="1" fillId="7" fontId="3" numFmtId="165" xfId="0" applyAlignment="1" applyBorder="1" applyFont="1" applyNumberFormat="1">
      <alignment horizontal="center" vertical="center"/>
    </xf>
    <xf borderId="1" fillId="7" fontId="3" numFmtId="166" xfId="0" applyAlignment="1" applyBorder="1" applyFont="1" applyNumberFormat="1">
      <alignment horizontal="center" vertical="center"/>
    </xf>
    <xf borderId="1" fillId="7" fontId="4" numFmtId="165" xfId="0" applyAlignment="1" applyBorder="1" applyFont="1" applyNumberForma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3" numFmtId="2" xfId="0" applyAlignment="1" applyBorder="1" applyFont="1" applyNumberFormat="1">
      <alignment horizontal="center" vertical="center"/>
    </xf>
    <xf borderId="1" fillId="8" fontId="3" numFmtId="164" xfId="0" applyAlignment="1" applyBorder="1" applyFont="1" applyNumberFormat="1">
      <alignment horizontal="center" vertical="center"/>
    </xf>
    <xf borderId="1" fillId="8" fontId="3" numFmtId="165" xfId="0" applyAlignment="1" applyBorder="1" applyFont="1" applyNumberFormat="1">
      <alignment horizontal="center" vertical="center"/>
    </xf>
    <xf borderId="1" fillId="8" fontId="3" numFmtId="166" xfId="0" applyAlignment="1" applyBorder="1" applyFont="1" applyNumberFormat="1">
      <alignment horizontal="center" vertical="center"/>
    </xf>
    <xf borderId="1" fillId="8" fontId="4" numFmtId="165" xfId="0" applyAlignment="1" applyBorder="1" applyFont="1" applyNumberFormat="1">
      <alignment horizontal="center" vertical="center"/>
    </xf>
    <xf borderId="1" fillId="9" fontId="1" numFmtId="0" xfId="0" applyAlignment="1" applyBorder="1" applyFill="1" applyFont="1">
      <alignment horizontal="center" shrinkToFit="0" vertical="center" wrapText="1"/>
    </xf>
    <xf borderId="1" fillId="4" fontId="4" numFmtId="166" xfId="0" applyAlignment="1" applyBorder="1" applyFont="1" applyNumberFormat="1">
      <alignment horizontal="center" vertical="center"/>
    </xf>
    <xf borderId="1" fillId="4" fontId="6" numFmtId="166" xfId="0" applyAlignment="1" applyBorder="1" applyFont="1" applyNumberFormat="1">
      <alignment horizontal="center" vertical="center"/>
    </xf>
    <xf borderId="1" fillId="3" fontId="1" numFmtId="165" xfId="0" applyAlignment="1" applyBorder="1" applyFont="1" applyNumberFormat="1">
      <alignment horizontal="center" vertical="center"/>
    </xf>
    <xf borderId="1" fillId="9" fontId="7" numFmtId="165" xfId="0" applyAlignment="1" applyBorder="1" applyFont="1" applyNumberForma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7" fontId="4" numFmtId="166" xfId="0" applyAlignment="1" applyBorder="1" applyFont="1" applyNumberFormat="1">
      <alignment horizontal="center" vertical="center"/>
    </xf>
    <xf borderId="1" fillId="7" fontId="6" numFmtId="166" xfId="0" applyAlignment="1" applyBorder="1" applyFont="1" applyNumberFormat="1">
      <alignment horizontal="center" vertical="center"/>
    </xf>
    <xf borderId="1" fillId="8" fontId="4" numFmtId="166" xfId="0" applyAlignment="1" applyBorder="1" applyFont="1" applyNumberFormat="1">
      <alignment horizontal="center" vertical="center"/>
    </xf>
    <xf borderId="1" fillId="8" fontId="6" numFmtId="166" xfId="0" applyAlignment="1" applyBorder="1" applyFont="1" applyNumberFormat="1">
      <alignment horizontal="center" vertical="center"/>
    </xf>
    <xf borderId="2" fillId="2" fontId="7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1" fillId="0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3" width="9.0"/>
    <col customWidth="1" min="4" max="4" width="13.0"/>
    <col customWidth="1" min="5" max="5" width="9.0"/>
    <col customWidth="1" min="6" max="8" width="6.0"/>
    <col customWidth="1" min="9" max="10" width="7.0"/>
    <col customWidth="1" min="11" max="11" width="8.0"/>
    <col customWidth="1" min="12" max="13" width="7.0"/>
    <col customWidth="1" min="14" max="14" width="8.0"/>
    <col customWidth="1" min="15" max="15" width="14.0"/>
    <col customWidth="1" min="16" max="22" width="9.0"/>
    <col customWidth="1" min="23" max="28" width="9.71"/>
    <col customWidth="1" min="29" max="29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5.0" customHeight="1">
      <c r="A2" s="3" t="s">
        <v>22</v>
      </c>
      <c r="B2" s="3" t="s">
        <v>23</v>
      </c>
      <c r="C2" s="3" t="s">
        <v>24</v>
      </c>
      <c r="D2" s="3" t="s">
        <v>24</v>
      </c>
      <c r="E2" s="3" t="s">
        <v>25</v>
      </c>
      <c r="F2" s="4">
        <v>848.0</v>
      </c>
      <c r="G2" s="4">
        <v>21.0</v>
      </c>
      <c r="H2" s="4">
        <v>50.0</v>
      </c>
      <c r="I2" s="5">
        <v>3.88</v>
      </c>
      <c r="J2" s="6">
        <v>57.3</v>
      </c>
      <c r="K2" s="7">
        <v>0.06</v>
      </c>
      <c r="L2" s="6">
        <v>5.5</v>
      </c>
      <c r="M2" s="6">
        <v>4.6</v>
      </c>
      <c r="N2" s="7">
        <v>0.79</v>
      </c>
      <c r="O2" s="8">
        <v>1.5616</v>
      </c>
      <c r="P2" s="9">
        <f t="array" ref="P2">I2/MAX(IF($A$2:$A$146=A2,$I$2:$I$146))</f>
        <v>0.7775551102</v>
      </c>
      <c r="Q2" s="9">
        <f t="array" ref="Q2">J2/MAX(IF($A$2:$A$146=A2,$J$2:$J$146))</f>
        <v>0.7135740971</v>
      </c>
      <c r="R2" s="9">
        <f t="array" ref="R2">K2/MAX(IF($A$2:$A$146=A2,$K$2:$K$146))</f>
        <v>0.6</v>
      </c>
      <c r="S2" s="9">
        <f t="array" ref="S2">L2/MAX(IF($A$2:$A$146=A2,$L$2:$L$146))</f>
        <v>0.6875</v>
      </c>
      <c r="T2" s="9">
        <f t="array" ref="T2">M2/MAX(IF($A$2:$A$146=A2,$M$2:$M$146))</f>
        <v>0.1318051576</v>
      </c>
      <c r="U2" s="9">
        <f t="array" ref="U2">N2/MAX(IF($A$2:$A$146=A2,$N$2:$N$146))</f>
        <v>0.6171875</v>
      </c>
      <c r="V2" s="9">
        <f t="array" ref="V2">MIN(IF($A$2:$A$146=A2,$O$2:$O$146))/O2</f>
        <v>0.9682056865</v>
      </c>
    </row>
    <row r="3" ht="15.0" customHeight="1">
      <c r="A3" s="3" t="s">
        <v>26</v>
      </c>
      <c r="B3" s="3" t="s">
        <v>23</v>
      </c>
      <c r="C3" s="3" t="s">
        <v>24</v>
      </c>
      <c r="D3" s="3" t="s">
        <v>27</v>
      </c>
      <c r="E3" s="3" t="s">
        <v>28</v>
      </c>
      <c r="F3" s="4">
        <v>848.0</v>
      </c>
      <c r="G3" s="4">
        <v>33.0</v>
      </c>
      <c r="H3" s="4">
        <v>125.0</v>
      </c>
      <c r="I3" s="5">
        <v>3.9</v>
      </c>
      <c r="J3" s="6">
        <v>57.9</v>
      </c>
      <c r="K3" s="7">
        <v>0.05</v>
      </c>
      <c r="L3" s="10">
        <v>6.0</v>
      </c>
      <c r="M3" s="6">
        <v>4.1</v>
      </c>
      <c r="N3" s="7">
        <v>0.7</v>
      </c>
      <c r="O3" s="8">
        <v>1.52125</v>
      </c>
      <c r="P3" s="9">
        <f t="array" ref="P3">I3/MAX(IF($A$2:$A$146=A3,$I$2:$I$146))</f>
        <v>0.8008213552</v>
      </c>
      <c r="Q3" s="9">
        <f t="array" ref="Q3">J3/MAX(IF($A$2:$A$146=A3,$J$2:$J$146))</f>
        <v>0.920508744</v>
      </c>
      <c r="R3" s="9">
        <f t="array" ref="R3">K3/MAX(IF($A$2:$A$146=A3,$K$2:$K$146))</f>
        <v>0.625</v>
      </c>
      <c r="S3" s="9">
        <f t="array" ref="S3">L3/MAX(IF($A$2:$A$146=A3,$L$2:$L$146))</f>
        <v>1</v>
      </c>
      <c r="T3" s="9">
        <f t="array" ref="T3">M3/MAX(IF($A$2:$A$146=A3,$M$2:$M$146))</f>
        <v>0.1680327869</v>
      </c>
      <c r="U3" s="9">
        <f t="array" ref="U3">N3/MAX(IF($A$2:$A$146=A3,$N$2:$N$146))</f>
        <v>0.6140350877</v>
      </c>
      <c r="V3" s="9">
        <f t="array" ref="V3">MIN(IF($A$2:$A$146=A3,$O$2:$O$146))/O3</f>
        <v>0.9821199671</v>
      </c>
    </row>
    <row r="4" ht="15.0" customHeight="1">
      <c r="A4" s="3" t="s">
        <v>29</v>
      </c>
      <c r="B4" s="3" t="s">
        <v>23</v>
      </c>
      <c r="C4" s="3" t="s">
        <v>24</v>
      </c>
      <c r="D4" s="3" t="s">
        <v>30</v>
      </c>
      <c r="E4" s="3" t="s">
        <v>31</v>
      </c>
      <c r="F4" s="4">
        <v>848.0</v>
      </c>
      <c r="G4" s="4">
        <v>17.0</v>
      </c>
      <c r="H4" s="4">
        <v>177.0</v>
      </c>
      <c r="I4" s="5">
        <v>3.83</v>
      </c>
      <c r="J4" s="10">
        <v>52.9</v>
      </c>
      <c r="K4" s="11">
        <v>0.05</v>
      </c>
      <c r="L4" s="6">
        <v>4.2</v>
      </c>
      <c r="M4" s="6">
        <v>3.5</v>
      </c>
      <c r="N4" s="11">
        <v>0.66</v>
      </c>
      <c r="O4" s="8">
        <v>1.49115</v>
      </c>
      <c r="P4" s="9">
        <f t="array" ref="P4">I4/MAX(IF($A$2:$A$146=A4,$I$2:$I$146))</f>
        <v>0.823655914</v>
      </c>
      <c r="Q4" s="9">
        <f t="array" ref="Q4">J4/MAX(IF($A$2:$A$146=A4,$J$2:$J$146))</f>
        <v>1</v>
      </c>
      <c r="R4" s="9">
        <f t="array" ref="R4">K4/MAX(IF($A$2:$A$146=A4,$K$2:$K$146))</f>
        <v>1</v>
      </c>
      <c r="S4" s="9">
        <f t="array" ref="S4">L4/MAX(IF($A$2:$A$146=A4,$L$2:$L$146))</f>
        <v>0.1453287197</v>
      </c>
      <c r="T4" s="9">
        <f t="array" ref="T4">M4/MAX(IF($A$2:$A$146=A4,$M$2:$M$146))</f>
        <v>0.2121212121</v>
      </c>
      <c r="U4" s="9">
        <f t="array" ref="U4">N4/MAX(IF($A$2:$A$146=A4,$N$2:$N$146))</f>
        <v>1</v>
      </c>
      <c r="V4" s="9">
        <f t="array" ref="V4">MIN(IF($A$2:$A$146=A4,$O$2:$O$146))/O4</f>
        <v>0.9899071187</v>
      </c>
    </row>
    <row r="5" ht="15.0" customHeight="1">
      <c r="A5" s="3" t="s">
        <v>32</v>
      </c>
      <c r="B5" s="3" t="s">
        <v>23</v>
      </c>
      <c r="C5" s="3" t="s">
        <v>24</v>
      </c>
      <c r="D5" s="3" t="s">
        <v>33</v>
      </c>
      <c r="E5" s="3" t="s">
        <v>34</v>
      </c>
      <c r="F5" s="4">
        <v>848.0</v>
      </c>
      <c r="G5" s="4">
        <v>25.0</v>
      </c>
      <c r="H5" s="4">
        <v>176.0</v>
      </c>
      <c r="I5" s="5">
        <v>3.81</v>
      </c>
      <c r="J5" s="6">
        <v>52.9</v>
      </c>
      <c r="K5" s="11">
        <v>0.04</v>
      </c>
      <c r="L5" s="6">
        <v>0.9</v>
      </c>
      <c r="M5" s="6">
        <v>2.4</v>
      </c>
      <c r="N5" s="7">
        <v>0.52</v>
      </c>
      <c r="O5" s="8">
        <v>1.4848</v>
      </c>
      <c r="P5" s="9">
        <f t="array" ref="P5">I5/MAX(IF($A$2:$A$146=A5,$I$2:$I$146))</f>
        <v>0.8300653595</v>
      </c>
      <c r="Q5" s="9">
        <f t="array" ref="Q5">J5/MAX(IF($A$2:$A$146=A5,$J$2:$J$146))</f>
        <v>0.5431211499</v>
      </c>
      <c r="R5" s="9">
        <f t="array" ref="R5">K5/MAX(IF($A$2:$A$146=A5,$K$2:$K$146))</f>
        <v>1</v>
      </c>
      <c r="S5" s="9">
        <f t="array" ref="S5">L5/MAX(IF($A$2:$A$146=A5,$L$2:$L$146))</f>
        <v>0.05202312139</v>
      </c>
      <c r="T5" s="9">
        <f t="array" ref="T5">M5/MAX(IF($A$2:$A$146=A5,$M$2:$M$146))</f>
        <v>0.1387283237</v>
      </c>
      <c r="U5" s="9">
        <f t="array" ref="U5">N5/MAX(IF($A$2:$A$146=A5,$N$2:$N$146))</f>
        <v>0.962962963</v>
      </c>
      <c r="V5" s="9">
        <f t="array" ref="V5">MIN(IF($A$2:$A$146=A5,$O$2:$O$146))/O5</f>
        <v>0.9940059267</v>
      </c>
    </row>
    <row r="6" ht="15.0" customHeight="1">
      <c r="A6" s="3" t="s">
        <v>35</v>
      </c>
      <c r="B6" s="3" t="s">
        <v>23</v>
      </c>
      <c r="C6" s="3" t="s">
        <v>24</v>
      </c>
      <c r="D6" s="3" t="s">
        <v>36</v>
      </c>
      <c r="E6" s="3" t="s">
        <v>37</v>
      </c>
      <c r="F6" s="4">
        <v>848.0</v>
      </c>
      <c r="G6" s="4">
        <v>27.0</v>
      </c>
      <c r="H6" s="4">
        <v>176.0</v>
      </c>
      <c r="I6" s="5">
        <v>3.84</v>
      </c>
      <c r="J6" s="10">
        <v>49.8</v>
      </c>
      <c r="K6" s="7">
        <v>0.03</v>
      </c>
      <c r="L6" s="6">
        <v>5.5</v>
      </c>
      <c r="M6" s="6">
        <v>2.4</v>
      </c>
      <c r="N6" s="7">
        <v>0.4</v>
      </c>
      <c r="O6" s="12">
        <v>1.486</v>
      </c>
      <c r="P6" s="9">
        <f t="array" ref="P6">I6/MAX(IF($A$2:$A$146=A6,$I$2:$I$146))</f>
        <v>0.8909512761</v>
      </c>
      <c r="Q6" s="9">
        <f t="array" ref="Q6">J6/MAX(IF($A$2:$A$146=A6,$J$2:$J$146))</f>
        <v>1</v>
      </c>
      <c r="R6" s="9">
        <f t="array" ref="R6">K6/MAX(IF($A$2:$A$146=A6,$K$2:$K$146))</f>
        <v>0.75</v>
      </c>
      <c r="S6" s="9">
        <f t="array" ref="S6">L6/MAX(IF($A$2:$A$146=A6,$L$2:$L$146))</f>
        <v>0.9482758621</v>
      </c>
      <c r="T6" s="9">
        <f t="array" ref="T6">M6/MAX(IF($A$2:$A$146=A6,$M$2:$M$146))</f>
        <v>0.1538461538</v>
      </c>
      <c r="U6" s="9">
        <f t="array" ref="U6">N6/MAX(IF($A$2:$A$146=A6,$N$2:$N$146))</f>
        <v>0.8163265306</v>
      </c>
      <c r="V6" s="9">
        <f t="array" ref="V6">MIN(IF($A$2:$A$146=A6,$O$2:$O$146))/O6</f>
        <v>1</v>
      </c>
      <c r="W6" s="13"/>
      <c r="X6" s="13"/>
      <c r="Y6" s="13"/>
      <c r="Z6" s="13"/>
      <c r="AA6" s="13"/>
      <c r="AB6" s="13"/>
      <c r="AC6" s="13"/>
    </row>
    <row r="7" ht="15.0" customHeight="1">
      <c r="A7" s="3" t="s">
        <v>22</v>
      </c>
      <c r="B7" s="3" t="s">
        <v>23</v>
      </c>
      <c r="C7" s="3" t="s">
        <v>38</v>
      </c>
      <c r="D7" s="3" t="s">
        <v>38</v>
      </c>
      <c r="E7" s="3" t="s">
        <v>39</v>
      </c>
      <c r="F7" s="4">
        <v>881.0</v>
      </c>
      <c r="G7" s="4">
        <v>18.0</v>
      </c>
      <c r="H7" s="4">
        <v>101.0</v>
      </c>
      <c r="I7" s="5">
        <v>4.94</v>
      </c>
      <c r="J7" s="6">
        <v>61.7</v>
      </c>
      <c r="K7" s="7">
        <v>0.07</v>
      </c>
      <c r="L7" s="10">
        <v>8.0</v>
      </c>
      <c r="M7" s="10">
        <v>34.9</v>
      </c>
      <c r="N7" s="7">
        <v>0.98</v>
      </c>
      <c r="O7" s="8">
        <v>1.76145</v>
      </c>
      <c r="P7" s="9">
        <f t="array" ref="P7">I7/MAX(IF($A$2:$A$146=A7,$I$2:$I$146))</f>
        <v>0.9899799599</v>
      </c>
      <c r="Q7" s="9">
        <f t="array" ref="Q7">J7/MAX(IF($A$2:$A$146=A7,$J$2:$J$146))</f>
        <v>0.7683686177</v>
      </c>
      <c r="R7" s="9">
        <f t="array" ref="R7">K7/MAX(IF($A$2:$A$146=A7,$K$2:$K$146))</f>
        <v>0.7</v>
      </c>
      <c r="S7" s="9">
        <f t="array" ref="S7">L7/MAX(IF($A$2:$A$146=A7,$L$2:$L$146))</f>
        <v>1</v>
      </c>
      <c r="T7" s="9">
        <f t="array" ref="T7">M7/MAX(IF($A$2:$A$146=A7,$M$2:$M$146))</f>
        <v>1</v>
      </c>
      <c r="U7" s="9">
        <f t="array" ref="U7">N7/MAX(IF($A$2:$A$146=A7,$N$2:$N$146))</f>
        <v>0.765625</v>
      </c>
      <c r="V7" s="9">
        <f t="array" ref="V7">MIN(IF($A$2:$A$146=A7,$O$2:$O$146))/O7</f>
        <v>0.8583553323</v>
      </c>
    </row>
    <row r="8" ht="15.0" customHeight="1">
      <c r="A8" s="3" t="s">
        <v>26</v>
      </c>
      <c r="B8" s="3" t="s">
        <v>23</v>
      </c>
      <c r="C8" s="3" t="s">
        <v>38</v>
      </c>
      <c r="D8" s="3" t="s">
        <v>40</v>
      </c>
      <c r="E8" s="3" t="s">
        <v>41</v>
      </c>
      <c r="F8" s="4">
        <v>872.0</v>
      </c>
      <c r="G8" s="4">
        <v>15.0</v>
      </c>
      <c r="H8" s="4">
        <v>113.0</v>
      </c>
      <c r="I8" s="5">
        <v>4.75</v>
      </c>
      <c r="J8" s="6">
        <v>54.2</v>
      </c>
      <c r="K8" s="7">
        <v>0.06</v>
      </c>
      <c r="L8" s="6">
        <v>5.1</v>
      </c>
      <c r="M8" s="10">
        <v>24.4</v>
      </c>
      <c r="N8" s="7">
        <v>0.79</v>
      </c>
      <c r="O8" s="8">
        <v>1.6786</v>
      </c>
      <c r="P8" s="9">
        <f t="array" ref="P8">I8/MAX(IF($A$2:$A$146=A8,$I$2:$I$146))</f>
        <v>0.9753593429</v>
      </c>
      <c r="Q8" s="9">
        <f t="array" ref="Q8">J8/MAX(IF($A$2:$A$146=A8,$J$2:$J$146))</f>
        <v>0.8616852146</v>
      </c>
      <c r="R8" s="9">
        <f t="array" ref="R8">K8/MAX(IF($A$2:$A$146=A8,$K$2:$K$146))</f>
        <v>0.75</v>
      </c>
      <c r="S8" s="9">
        <f t="array" ref="S8">L8/MAX(IF($A$2:$A$146=A8,$L$2:$L$146))</f>
        <v>0.85</v>
      </c>
      <c r="T8" s="9">
        <f t="array" ref="T8">M8/MAX(IF($A$2:$A$146=A8,$M$2:$M$146))</f>
        <v>1</v>
      </c>
      <c r="U8" s="9">
        <f t="array" ref="U8">N8/MAX(IF($A$2:$A$146=A8,$N$2:$N$146))</f>
        <v>0.6929824561</v>
      </c>
      <c r="V8" s="9">
        <f t="array" ref="V8">MIN(IF($A$2:$A$146=A8,$O$2:$O$146))/O8</f>
        <v>0.8900571905</v>
      </c>
    </row>
    <row r="9" ht="15.0" customHeight="1">
      <c r="A9" s="3" t="s">
        <v>29</v>
      </c>
      <c r="B9" s="3" t="s">
        <v>23</v>
      </c>
      <c r="C9" s="3" t="s">
        <v>38</v>
      </c>
      <c r="D9" s="3" t="s">
        <v>42</v>
      </c>
      <c r="E9" s="3" t="s">
        <v>43</v>
      </c>
      <c r="F9" s="4">
        <v>860.0</v>
      </c>
      <c r="G9" s="4">
        <v>27.0</v>
      </c>
      <c r="H9" s="4">
        <v>112.0</v>
      </c>
      <c r="I9" s="14">
        <v>4.65</v>
      </c>
      <c r="J9" s="6">
        <v>35.6</v>
      </c>
      <c r="K9" s="7">
        <v>0.03</v>
      </c>
      <c r="L9" s="6">
        <v>4.0</v>
      </c>
      <c r="M9" s="6">
        <v>15.2</v>
      </c>
      <c r="N9" s="7">
        <v>0.4</v>
      </c>
      <c r="O9" s="8">
        <v>1.614</v>
      </c>
      <c r="P9" s="9">
        <f t="array" ref="P9">I9/MAX(IF($A$2:$A$146=A9,$I$2:$I$146))</f>
        <v>1</v>
      </c>
      <c r="Q9" s="9">
        <f t="array" ref="Q9">J9/MAX(IF($A$2:$A$146=A9,$J$2:$J$146))</f>
        <v>0.6729678639</v>
      </c>
      <c r="R9" s="9">
        <f t="array" ref="R9">K9/MAX(IF($A$2:$A$146=A9,$K$2:$K$146))</f>
        <v>0.6</v>
      </c>
      <c r="S9" s="9">
        <f t="array" ref="S9">L9/MAX(IF($A$2:$A$146=A9,$L$2:$L$146))</f>
        <v>0.1384083045</v>
      </c>
      <c r="T9" s="9">
        <f t="array" ref="T9">M9/MAX(IF($A$2:$A$146=A9,$M$2:$M$146))</f>
        <v>0.9212121212</v>
      </c>
      <c r="U9" s="9">
        <f t="array" ref="U9">N9/MAX(IF($A$2:$A$146=A9,$N$2:$N$146))</f>
        <v>0.6060606061</v>
      </c>
      <c r="V9" s="9">
        <f t="array" ref="V9">MIN(IF($A$2:$A$146=A9,$O$2:$O$146))/O9</f>
        <v>0.9145600991</v>
      </c>
    </row>
    <row r="10" ht="15.0" customHeight="1">
      <c r="A10" s="3" t="s">
        <v>32</v>
      </c>
      <c r="B10" s="3" t="s">
        <v>23</v>
      </c>
      <c r="C10" s="3" t="s">
        <v>38</v>
      </c>
      <c r="D10" s="3" t="s">
        <v>44</v>
      </c>
      <c r="E10" s="3" t="s">
        <v>45</v>
      </c>
      <c r="F10" s="4">
        <v>888.0</v>
      </c>
      <c r="G10" s="4">
        <v>10.0</v>
      </c>
      <c r="H10" s="4">
        <v>101.0</v>
      </c>
      <c r="I10" s="14">
        <v>4.59</v>
      </c>
      <c r="J10" s="6">
        <v>32.4</v>
      </c>
      <c r="K10" s="7">
        <v>0.02</v>
      </c>
      <c r="L10" s="6">
        <v>6.6</v>
      </c>
      <c r="M10" s="6">
        <v>14.2</v>
      </c>
      <c r="N10" s="7">
        <v>0.27</v>
      </c>
      <c r="O10" s="8">
        <v>1.6133</v>
      </c>
      <c r="P10" s="9">
        <f t="array" ref="P10">I10/MAX(IF($A$2:$A$146=A10,$I$2:$I$146))</f>
        <v>1</v>
      </c>
      <c r="Q10" s="9">
        <f t="array" ref="Q10">J10/MAX(IF($A$2:$A$146=A10,$J$2:$J$146))</f>
        <v>0.3326488706</v>
      </c>
      <c r="R10" s="9">
        <f t="array" ref="R10">K10/MAX(IF($A$2:$A$146=A10,$K$2:$K$146))</f>
        <v>0.5</v>
      </c>
      <c r="S10" s="9">
        <f t="array" ref="S10">L10/MAX(IF($A$2:$A$146=A10,$L$2:$L$146))</f>
        <v>0.3815028902</v>
      </c>
      <c r="T10" s="9">
        <f t="array" ref="T10">M10/MAX(IF($A$2:$A$146=A10,$M$2:$M$146))</f>
        <v>0.8208092486</v>
      </c>
      <c r="U10" s="9">
        <f t="array" ref="U10">N10/MAX(IF($A$2:$A$146=A10,$N$2:$N$146))</f>
        <v>0.5</v>
      </c>
      <c r="V10" s="9">
        <f t="array" ref="V10">MIN(IF($A$2:$A$146=A10,$O$2:$O$146))/O10</f>
        <v>0.9148329511</v>
      </c>
    </row>
    <row r="11" ht="15.0" customHeight="1">
      <c r="A11" s="3" t="s">
        <v>35</v>
      </c>
      <c r="B11" s="3" t="s">
        <v>23</v>
      </c>
      <c r="C11" s="3" t="s">
        <v>38</v>
      </c>
      <c r="D11" s="3" t="s">
        <v>46</v>
      </c>
      <c r="E11" s="3" t="s">
        <v>47</v>
      </c>
      <c r="F11" s="4">
        <v>876.0</v>
      </c>
      <c r="G11" s="4">
        <v>24.0</v>
      </c>
      <c r="H11" s="4">
        <v>100.0</v>
      </c>
      <c r="I11" s="14">
        <v>4.31</v>
      </c>
      <c r="J11" s="6">
        <v>31.7</v>
      </c>
      <c r="K11" s="7">
        <v>0.02</v>
      </c>
      <c r="L11" s="6">
        <v>0.9</v>
      </c>
      <c r="M11" s="6">
        <v>11.9</v>
      </c>
      <c r="N11" s="7">
        <v>0.31</v>
      </c>
      <c r="O11" s="8">
        <v>1.59615</v>
      </c>
      <c r="P11" s="9">
        <f t="array" ref="P11">I11/MAX(IF($A$2:$A$146=A11,$I$2:$I$146))</f>
        <v>1</v>
      </c>
      <c r="Q11" s="9">
        <f t="array" ref="Q11">J11/MAX(IF($A$2:$A$146=A11,$J$2:$J$146))</f>
        <v>0.6365461847</v>
      </c>
      <c r="R11" s="9">
        <f t="array" ref="R11">K11/MAX(IF($A$2:$A$146=A11,$K$2:$K$146))</f>
        <v>0.5</v>
      </c>
      <c r="S11" s="9">
        <f t="array" ref="S11">L11/MAX(IF($A$2:$A$146=A11,$L$2:$L$146))</f>
        <v>0.1551724138</v>
      </c>
      <c r="T11" s="9">
        <f t="array" ref="T11">M11/MAX(IF($A$2:$A$146=A11,$M$2:$M$146))</f>
        <v>0.7628205128</v>
      </c>
      <c r="U11" s="9">
        <f t="array" ref="U11">N11/MAX(IF($A$2:$A$146=A11,$N$2:$N$146))</f>
        <v>0.6326530612</v>
      </c>
      <c r="V11" s="9">
        <f t="array" ref="V11">MIN(IF($A$2:$A$146=A11,$O$2:$O$146))/O11</f>
        <v>0.9309901952</v>
      </c>
    </row>
    <row r="12" ht="15.0" customHeight="1">
      <c r="A12" s="3" t="s">
        <v>22</v>
      </c>
      <c r="B12" s="3" t="s">
        <v>23</v>
      </c>
      <c r="C12" s="3" t="s">
        <v>48</v>
      </c>
      <c r="D12" s="3" t="s">
        <v>48</v>
      </c>
      <c r="E12" s="3" t="s">
        <v>49</v>
      </c>
      <c r="F12" s="4">
        <v>859.0</v>
      </c>
      <c r="G12" s="4">
        <v>14.0</v>
      </c>
      <c r="H12" s="4">
        <v>127.0</v>
      </c>
      <c r="I12" s="5">
        <v>4.47</v>
      </c>
      <c r="J12" s="6">
        <v>60.1</v>
      </c>
      <c r="K12" s="11">
        <v>0.1</v>
      </c>
      <c r="L12" s="6">
        <v>3.5</v>
      </c>
      <c r="M12" s="6">
        <v>16.1</v>
      </c>
      <c r="N12" s="11">
        <v>1.28</v>
      </c>
      <c r="O12" s="8">
        <v>1.60445</v>
      </c>
      <c r="P12" s="9">
        <f t="array" ref="P12">I12/MAX(IF($A$2:$A$146=A12,$I$2:$I$146))</f>
        <v>0.8957915832</v>
      </c>
      <c r="Q12" s="9">
        <f t="array" ref="Q12">J12/MAX(IF($A$2:$A$146=A12,$J$2:$J$146))</f>
        <v>0.7484433375</v>
      </c>
      <c r="R12" s="9">
        <f t="array" ref="R12">K12/MAX(IF($A$2:$A$146=A12,$K$2:$K$146))</f>
        <v>1</v>
      </c>
      <c r="S12" s="9">
        <f t="array" ref="S12">L12/MAX(IF($A$2:$A$146=A12,$L$2:$L$146))</f>
        <v>0.4375</v>
      </c>
      <c r="T12" s="9">
        <f t="array" ref="T12">M12/MAX(IF($A$2:$A$146=A12,$M$2:$M$146))</f>
        <v>0.4613180516</v>
      </c>
      <c r="U12" s="9">
        <f t="array" ref="U12">N12/MAX(IF($A$2:$A$146=A12,$N$2:$N$146))</f>
        <v>1</v>
      </c>
      <c r="V12" s="9">
        <f t="array" ref="V12">MIN(IF($A$2:$A$146=A12,$O$2:$O$146))/O12</f>
        <v>0.9423478451</v>
      </c>
    </row>
    <row r="13" ht="15.0" customHeight="1">
      <c r="A13" s="3" t="s">
        <v>26</v>
      </c>
      <c r="B13" s="3" t="s">
        <v>23</v>
      </c>
      <c r="C13" s="3" t="s">
        <v>48</v>
      </c>
      <c r="D13" s="3" t="s">
        <v>50</v>
      </c>
      <c r="E13" s="3" t="s">
        <v>51</v>
      </c>
      <c r="F13" s="4">
        <v>825.0</v>
      </c>
      <c r="G13" s="4">
        <v>24.0</v>
      </c>
      <c r="H13" s="4">
        <v>151.0</v>
      </c>
      <c r="I13" s="5">
        <v>4.41</v>
      </c>
      <c r="J13" s="6">
        <v>51.1</v>
      </c>
      <c r="K13" s="7">
        <v>0.07</v>
      </c>
      <c r="L13" s="6">
        <v>2.6</v>
      </c>
      <c r="M13" s="6">
        <v>10.6</v>
      </c>
      <c r="N13" s="7">
        <v>0.92</v>
      </c>
      <c r="O13" s="8">
        <v>1.5548</v>
      </c>
      <c r="P13" s="9">
        <f t="array" ref="P13">I13/MAX(IF($A$2:$A$146=A13,$I$2:$I$146))</f>
        <v>0.9055441478</v>
      </c>
      <c r="Q13" s="9">
        <f t="array" ref="Q13">J13/MAX(IF($A$2:$A$146=A13,$J$2:$J$146))</f>
        <v>0.8124006359</v>
      </c>
      <c r="R13" s="9">
        <f t="array" ref="R13">K13/MAX(IF($A$2:$A$146=A13,$K$2:$K$146))</f>
        <v>0.875</v>
      </c>
      <c r="S13" s="9">
        <f t="array" ref="S13">L13/MAX(IF($A$2:$A$146=A13,$L$2:$L$146))</f>
        <v>0.4333333333</v>
      </c>
      <c r="T13" s="9">
        <f t="array" ref="T13">M13/MAX(IF($A$2:$A$146=A13,$M$2:$M$146))</f>
        <v>0.4344262295</v>
      </c>
      <c r="U13" s="9">
        <f t="array" ref="U13">N13/MAX(IF($A$2:$A$146=A13,$N$2:$N$146))</f>
        <v>0.8070175439</v>
      </c>
      <c r="V13" s="9">
        <f t="array" ref="V13">MIN(IF($A$2:$A$146=A13,$O$2:$O$146))/O13</f>
        <v>0.9609274505</v>
      </c>
    </row>
    <row r="14" ht="15.0" customHeight="1">
      <c r="A14" s="3" t="s">
        <v>29</v>
      </c>
      <c r="B14" s="3" t="s">
        <v>23</v>
      </c>
      <c r="C14" s="3" t="s">
        <v>48</v>
      </c>
      <c r="D14" s="3" t="s">
        <v>52</v>
      </c>
      <c r="E14" s="3" t="s">
        <v>53</v>
      </c>
      <c r="F14" s="4">
        <v>848.0</v>
      </c>
      <c r="G14" s="4">
        <v>26.0</v>
      </c>
      <c r="H14" s="4">
        <v>126.0</v>
      </c>
      <c r="I14" s="5">
        <v>4.32</v>
      </c>
      <c r="J14" s="6">
        <v>44.1</v>
      </c>
      <c r="K14" s="11">
        <v>0.05</v>
      </c>
      <c r="L14" s="6">
        <v>12.6</v>
      </c>
      <c r="M14" s="6">
        <v>9.2</v>
      </c>
      <c r="N14" s="7">
        <v>0.55</v>
      </c>
      <c r="O14" s="8">
        <v>1.5605</v>
      </c>
      <c r="P14" s="9">
        <f t="array" ref="P14">I14/MAX(IF($A$2:$A$146=A14,$I$2:$I$146))</f>
        <v>0.9290322581</v>
      </c>
      <c r="Q14" s="9">
        <f t="array" ref="Q14">J14/MAX(IF($A$2:$A$146=A14,$J$2:$J$146))</f>
        <v>0.8336483932</v>
      </c>
      <c r="R14" s="9">
        <f t="array" ref="R14">K14/MAX(IF($A$2:$A$146=A14,$K$2:$K$146))</f>
        <v>1</v>
      </c>
      <c r="S14" s="9">
        <f t="array" ref="S14">L14/MAX(IF($A$2:$A$146=A14,$L$2:$L$146))</f>
        <v>0.4359861592</v>
      </c>
      <c r="T14" s="9">
        <f t="array" ref="T14">M14/MAX(IF($A$2:$A$146=A14,$M$2:$M$146))</f>
        <v>0.5575757576</v>
      </c>
      <c r="U14" s="9">
        <f t="array" ref="U14">N14/MAX(IF($A$2:$A$146=A14,$N$2:$N$146))</f>
        <v>0.8333333333</v>
      </c>
      <c r="V14" s="9">
        <f t="array" ref="V14">MIN(IF($A$2:$A$146=A14,$O$2:$O$146))/O14</f>
        <v>0.9459147709</v>
      </c>
    </row>
    <row r="15" ht="15.0" customHeight="1">
      <c r="A15" s="3" t="s">
        <v>32</v>
      </c>
      <c r="B15" s="3" t="s">
        <v>23</v>
      </c>
      <c r="C15" s="3" t="s">
        <v>48</v>
      </c>
      <c r="D15" s="3" t="s">
        <v>54</v>
      </c>
      <c r="E15" s="3" t="s">
        <v>55</v>
      </c>
      <c r="F15" s="4">
        <v>848.0</v>
      </c>
      <c r="G15" s="4">
        <v>21.0</v>
      </c>
      <c r="H15" s="4">
        <v>126.0</v>
      </c>
      <c r="I15" s="5">
        <v>4.2</v>
      </c>
      <c r="J15" s="6">
        <v>42.3</v>
      </c>
      <c r="K15" s="11">
        <v>0.04</v>
      </c>
      <c r="L15" s="6">
        <v>2.2</v>
      </c>
      <c r="M15" s="6">
        <v>7.7</v>
      </c>
      <c r="N15" s="7">
        <v>0.42</v>
      </c>
      <c r="O15" s="8">
        <v>1.55055</v>
      </c>
      <c r="P15" s="9">
        <f t="array" ref="P15">I15/MAX(IF($A$2:$A$146=A15,$I$2:$I$146))</f>
        <v>0.9150326797</v>
      </c>
      <c r="Q15" s="9">
        <f t="array" ref="Q15">J15/MAX(IF($A$2:$A$146=A15,$J$2:$J$146))</f>
        <v>0.4342915811</v>
      </c>
      <c r="R15" s="9">
        <f t="array" ref="R15">K15/MAX(IF($A$2:$A$146=A15,$K$2:$K$146))</f>
        <v>1</v>
      </c>
      <c r="S15" s="9">
        <f t="array" ref="S15">L15/MAX(IF($A$2:$A$146=A15,$L$2:$L$146))</f>
        <v>0.1271676301</v>
      </c>
      <c r="T15" s="9">
        <f t="array" ref="T15">M15/MAX(IF($A$2:$A$146=A15,$M$2:$M$146))</f>
        <v>0.4450867052</v>
      </c>
      <c r="U15" s="9">
        <f t="array" ref="U15">N15/MAX(IF($A$2:$A$146=A15,$N$2:$N$146))</f>
        <v>0.7777777778</v>
      </c>
      <c r="V15" s="9">
        <f t="array" ref="V15">MIN(IF($A$2:$A$146=A15,$O$2:$O$146))/O15</f>
        <v>0.9518557931</v>
      </c>
    </row>
    <row r="16" ht="15.0" customHeight="1">
      <c r="A16" s="3" t="s">
        <v>35</v>
      </c>
      <c r="B16" s="3" t="s">
        <v>23</v>
      </c>
      <c r="C16" s="3" t="s">
        <v>48</v>
      </c>
      <c r="D16" s="3" t="s">
        <v>56</v>
      </c>
      <c r="E16" s="3" t="s">
        <v>57</v>
      </c>
      <c r="F16" s="4">
        <v>848.0</v>
      </c>
      <c r="G16" s="4">
        <v>33.0</v>
      </c>
      <c r="H16" s="4">
        <v>126.0</v>
      </c>
      <c r="I16" s="5">
        <v>4.03</v>
      </c>
      <c r="J16" s="6">
        <v>43.0</v>
      </c>
      <c r="K16" s="11">
        <v>0.04</v>
      </c>
      <c r="L16" s="6">
        <v>4.6</v>
      </c>
      <c r="M16" s="6">
        <v>8.8</v>
      </c>
      <c r="N16" s="11">
        <v>0.49</v>
      </c>
      <c r="O16" s="8">
        <v>1.5581</v>
      </c>
      <c r="P16" s="9">
        <f t="array" ref="P16">I16/MAX(IF($A$2:$A$146=A16,$I$2:$I$146))</f>
        <v>0.9350348028</v>
      </c>
      <c r="Q16" s="9">
        <f t="array" ref="Q16">J16/MAX(IF($A$2:$A$146=A16,$J$2:$J$146))</f>
        <v>0.8634538153</v>
      </c>
      <c r="R16" s="9">
        <f t="array" ref="R16">K16/MAX(IF($A$2:$A$146=A16,$K$2:$K$146))</f>
        <v>1</v>
      </c>
      <c r="S16" s="9">
        <f t="array" ref="S16">L16/MAX(IF($A$2:$A$146=A16,$L$2:$L$146))</f>
        <v>0.7931034483</v>
      </c>
      <c r="T16" s="9">
        <f t="array" ref="T16">M16/MAX(IF($A$2:$A$146=A16,$M$2:$M$146))</f>
        <v>0.5641025641</v>
      </c>
      <c r="U16" s="9">
        <f t="array" ref="U16">N16/MAX(IF($A$2:$A$146=A16,$N$2:$N$146))</f>
        <v>1</v>
      </c>
      <c r="V16" s="9">
        <f t="array" ref="V16">MIN(IF($A$2:$A$146=A16,$O$2:$O$146))/O16</f>
        <v>0.9537256915</v>
      </c>
    </row>
    <row r="17" ht="15.0" customHeight="1">
      <c r="A17" s="3" t="s">
        <v>22</v>
      </c>
      <c r="B17" s="3" t="s">
        <v>23</v>
      </c>
      <c r="C17" s="3" t="s">
        <v>58</v>
      </c>
      <c r="D17" s="3" t="s">
        <v>58</v>
      </c>
      <c r="E17" s="3" t="s">
        <v>59</v>
      </c>
      <c r="F17" s="4">
        <v>848.0</v>
      </c>
      <c r="G17" s="4">
        <v>23.0</v>
      </c>
      <c r="H17" s="4">
        <v>50.0</v>
      </c>
      <c r="I17" s="5">
        <v>4.18</v>
      </c>
      <c r="J17" s="6">
        <v>36.5</v>
      </c>
      <c r="K17" s="7">
        <v>0.03</v>
      </c>
      <c r="L17" s="6">
        <v>3.5</v>
      </c>
      <c r="M17" s="6">
        <v>12.9</v>
      </c>
      <c r="N17" s="7">
        <v>0.39</v>
      </c>
      <c r="O17" s="8">
        <v>1.62785</v>
      </c>
      <c r="P17" s="9">
        <f t="array" ref="P17">I17/MAX(IF($A$2:$A$146=A17,$I$2:$I$146))</f>
        <v>0.8376753507</v>
      </c>
      <c r="Q17" s="9">
        <f t="array" ref="Q17">J17/MAX(IF($A$2:$A$146=A17,$J$2:$J$146))</f>
        <v>0.4545454545</v>
      </c>
      <c r="R17" s="9">
        <f t="array" ref="R17">K17/MAX(IF($A$2:$A$146=A17,$K$2:$K$146))</f>
        <v>0.3</v>
      </c>
      <c r="S17" s="9">
        <f t="array" ref="S17">L17/MAX(IF($A$2:$A$146=A17,$L$2:$L$146))</f>
        <v>0.4375</v>
      </c>
      <c r="T17" s="9">
        <f t="array" ref="T17">M17/MAX(IF($A$2:$A$146=A17,$M$2:$M$146))</f>
        <v>0.3696275072</v>
      </c>
      <c r="U17" s="9">
        <f t="array" ref="U17">N17/MAX(IF($A$2:$A$146=A17,$N$2:$N$146))</f>
        <v>0.3046875</v>
      </c>
      <c r="V17" s="9">
        <f t="array" ref="V17">MIN(IF($A$2:$A$146=A17,$O$2:$O$146))/O17</f>
        <v>0.9288017938</v>
      </c>
    </row>
    <row r="18" ht="15.0" customHeight="1">
      <c r="A18" s="3" t="s">
        <v>26</v>
      </c>
      <c r="B18" s="3" t="s">
        <v>23</v>
      </c>
      <c r="C18" s="3" t="s">
        <v>58</v>
      </c>
      <c r="D18" s="3" t="s">
        <v>60</v>
      </c>
      <c r="E18" s="3" t="s">
        <v>61</v>
      </c>
      <c r="F18" s="4">
        <v>848.0</v>
      </c>
      <c r="G18" s="4">
        <v>14.0</v>
      </c>
      <c r="H18" s="4">
        <v>75.0</v>
      </c>
      <c r="I18" s="5">
        <v>4.09</v>
      </c>
      <c r="J18" s="6">
        <v>29.7</v>
      </c>
      <c r="K18" s="7">
        <v>0.03</v>
      </c>
      <c r="L18" s="6">
        <v>1.5</v>
      </c>
      <c r="M18" s="6">
        <v>6.1</v>
      </c>
      <c r="N18" s="7">
        <v>0.29</v>
      </c>
      <c r="O18" s="8">
        <v>1.56535</v>
      </c>
      <c r="P18" s="9">
        <f t="array" ref="P18">I18/MAX(IF($A$2:$A$146=A18,$I$2:$I$146))</f>
        <v>0.839835729</v>
      </c>
      <c r="Q18" s="9">
        <f t="array" ref="Q18">J18/MAX(IF($A$2:$A$146=A18,$J$2:$J$146))</f>
        <v>0.4721780604</v>
      </c>
      <c r="R18" s="9">
        <f t="array" ref="R18">K18/MAX(IF($A$2:$A$146=A18,$K$2:$K$146))</f>
        <v>0.375</v>
      </c>
      <c r="S18" s="9">
        <f t="array" ref="S18">L18/MAX(IF($A$2:$A$146=A18,$L$2:$L$146))</f>
        <v>0.25</v>
      </c>
      <c r="T18" s="9">
        <f t="array" ref="T18">M18/MAX(IF($A$2:$A$146=A18,$M$2:$M$146))</f>
        <v>0.25</v>
      </c>
      <c r="U18" s="9">
        <f t="array" ref="U18">N18/MAX(IF($A$2:$A$146=A18,$N$2:$N$146))</f>
        <v>0.2543859649</v>
      </c>
      <c r="V18" s="9">
        <f t="array" ref="V18">MIN(IF($A$2:$A$146=A18,$O$2:$O$146))/O18</f>
        <v>0.9544510812</v>
      </c>
    </row>
    <row r="19" ht="15.0" customHeight="1">
      <c r="A19" s="3" t="s">
        <v>29</v>
      </c>
      <c r="B19" s="3" t="s">
        <v>23</v>
      </c>
      <c r="C19" s="3" t="s">
        <v>58</v>
      </c>
      <c r="D19" s="3" t="s">
        <v>62</v>
      </c>
      <c r="E19" s="3" t="s">
        <v>63</v>
      </c>
      <c r="F19" s="4">
        <v>848.0</v>
      </c>
      <c r="G19" s="4">
        <v>17.0</v>
      </c>
      <c r="H19" s="4">
        <v>75.0</v>
      </c>
      <c r="I19" s="5">
        <v>4.08</v>
      </c>
      <c r="J19" s="6">
        <v>27.0</v>
      </c>
      <c r="K19" s="7">
        <v>0.02</v>
      </c>
      <c r="L19" s="10">
        <v>28.9</v>
      </c>
      <c r="M19" s="6">
        <v>4.6</v>
      </c>
      <c r="N19" s="7">
        <v>0.19</v>
      </c>
      <c r="O19" s="8">
        <v>1.5551</v>
      </c>
      <c r="P19" s="9">
        <f t="array" ref="P19">I19/MAX(IF($A$2:$A$146=A19,$I$2:$I$146))</f>
        <v>0.8774193548</v>
      </c>
      <c r="Q19" s="9">
        <f t="array" ref="Q19">J19/MAX(IF($A$2:$A$146=A19,$J$2:$J$146))</f>
        <v>0.5103969754</v>
      </c>
      <c r="R19" s="9">
        <f t="array" ref="R19">K19/MAX(IF($A$2:$A$146=A19,$K$2:$K$146))</f>
        <v>0.4</v>
      </c>
      <c r="S19" s="9">
        <f t="array" ref="S19">L19/MAX(IF($A$2:$A$146=A19,$L$2:$L$146))</f>
        <v>1</v>
      </c>
      <c r="T19" s="9">
        <f t="array" ref="T19">M19/MAX(IF($A$2:$A$146=A19,$M$2:$M$146))</f>
        <v>0.2787878788</v>
      </c>
      <c r="U19" s="9">
        <f t="array" ref="U19">N19/MAX(IF($A$2:$A$146=A19,$N$2:$N$146))</f>
        <v>0.2878787879</v>
      </c>
      <c r="V19" s="9">
        <f t="array" ref="V19">MIN(IF($A$2:$A$146=A19,$O$2:$O$146))/O19</f>
        <v>0.9491994084</v>
      </c>
    </row>
    <row r="20" ht="15.0" customHeight="1">
      <c r="A20" s="3" t="s">
        <v>32</v>
      </c>
      <c r="B20" s="3" t="s">
        <v>23</v>
      </c>
      <c r="C20" s="3" t="s">
        <v>58</v>
      </c>
      <c r="D20" s="3" t="s">
        <v>64</v>
      </c>
      <c r="E20" s="3" t="s">
        <v>65</v>
      </c>
      <c r="F20" s="4">
        <v>848.0</v>
      </c>
      <c r="G20" s="4">
        <v>24.0</v>
      </c>
      <c r="H20" s="4">
        <v>75.0</v>
      </c>
      <c r="I20" s="5">
        <v>4.0</v>
      </c>
      <c r="J20" s="6">
        <v>26.0</v>
      </c>
      <c r="K20" s="7">
        <v>0.02</v>
      </c>
      <c r="L20" s="6">
        <v>1.8</v>
      </c>
      <c r="M20" s="6">
        <v>3.8</v>
      </c>
      <c r="N20" s="7">
        <v>0.22</v>
      </c>
      <c r="O20" s="8">
        <v>1.5488</v>
      </c>
      <c r="P20" s="9">
        <f t="array" ref="P20">I20/MAX(IF($A$2:$A$146=A20,$I$2:$I$146))</f>
        <v>0.871459695</v>
      </c>
      <c r="Q20" s="9">
        <f t="array" ref="Q20">J20/MAX(IF($A$2:$A$146=A20,$J$2:$J$146))</f>
        <v>0.2669404517</v>
      </c>
      <c r="R20" s="9">
        <f t="array" ref="R20">K20/MAX(IF($A$2:$A$146=A20,$K$2:$K$146))</f>
        <v>0.5</v>
      </c>
      <c r="S20" s="9">
        <f t="array" ref="S20">L20/MAX(IF($A$2:$A$146=A20,$L$2:$L$146))</f>
        <v>0.1040462428</v>
      </c>
      <c r="T20" s="9">
        <f t="array" ref="T20">M20/MAX(IF($A$2:$A$146=A20,$M$2:$M$146))</f>
        <v>0.2196531792</v>
      </c>
      <c r="U20" s="9">
        <f t="array" ref="U20">N20/MAX(IF($A$2:$A$146=A20,$N$2:$N$146))</f>
        <v>0.4074074074</v>
      </c>
      <c r="V20" s="9">
        <f t="array" ref="V20">MIN(IF($A$2:$A$146=A20,$O$2:$O$146))/O20</f>
        <v>0.9529313017</v>
      </c>
    </row>
    <row r="21" ht="15.0" customHeight="1">
      <c r="A21" s="3" t="s">
        <v>35</v>
      </c>
      <c r="B21" s="3" t="s">
        <v>23</v>
      </c>
      <c r="C21" s="3" t="s">
        <v>58</v>
      </c>
      <c r="D21" s="3" t="s">
        <v>66</v>
      </c>
      <c r="E21" s="3" t="s">
        <v>67</v>
      </c>
      <c r="F21" s="4">
        <v>848.0</v>
      </c>
      <c r="G21" s="4">
        <v>13.0</v>
      </c>
      <c r="H21" s="4">
        <v>101.0</v>
      </c>
      <c r="I21" s="5">
        <v>4.18</v>
      </c>
      <c r="J21" s="6">
        <v>26.8</v>
      </c>
      <c r="K21" s="7">
        <v>0.02</v>
      </c>
      <c r="L21" s="6">
        <v>1.2</v>
      </c>
      <c r="M21" s="6">
        <v>3.4</v>
      </c>
      <c r="N21" s="7">
        <v>0.2</v>
      </c>
      <c r="O21" s="8">
        <v>1.533</v>
      </c>
      <c r="P21" s="9">
        <f t="array" ref="P21">I21/MAX(IF($A$2:$A$146=A21,$I$2:$I$146))</f>
        <v>0.969837587</v>
      </c>
      <c r="Q21" s="9">
        <f t="array" ref="Q21">J21/MAX(IF($A$2:$A$146=A21,$J$2:$J$146))</f>
        <v>0.5381526104</v>
      </c>
      <c r="R21" s="9">
        <f t="array" ref="R21">K21/MAX(IF($A$2:$A$146=A21,$K$2:$K$146))</f>
        <v>0.5</v>
      </c>
      <c r="S21" s="9">
        <f t="array" ref="S21">L21/MAX(IF($A$2:$A$146=A21,$L$2:$L$146))</f>
        <v>0.2068965517</v>
      </c>
      <c r="T21" s="9">
        <f t="array" ref="T21">M21/MAX(IF($A$2:$A$146=A21,$M$2:$M$146))</f>
        <v>0.2179487179</v>
      </c>
      <c r="U21" s="9">
        <f t="array" ref="U21">N21/MAX(IF($A$2:$A$146=A21,$N$2:$N$146))</f>
        <v>0.4081632653</v>
      </c>
      <c r="V21" s="9">
        <f t="array" ref="V21">MIN(IF($A$2:$A$146=A21,$O$2:$O$146))/O21</f>
        <v>0.9693411611</v>
      </c>
    </row>
    <row r="22" ht="15.0" customHeight="1">
      <c r="A22" s="3" t="s">
        <v>22</v>
      </c>
      <c r="B22" s="3" t="s">
        <v>23</v>
      </c>
      <c r="C22" s="3" t="s">
        <v>68</v>
      </c>
      <c r="D22" s="3" t="s">
        <v>68</v>
      </c>
      <c r="E22" s="3" t="s">
        <v>38</v>
      </c>
      <c r="F22" s="4">
        <v>848.0</v>
      </c>
      <c r="G22" s="4">
        <v>25.0</v>
      </c>
      <c r="H22" s="4">
        <v>75.0</v>
      </c>
      <c r="I22" s="14">
        <v>4.99</v>
      </c>
      <c r="J22" s="6">
        <v>58.2</v>
      </c>
      <c r="K22" s="7">
        <v>0.09</v>
      </c>
      <c r="L22" s="6">
        <v>5.3</v>
      </c>
      <c r="M22" s="6">
        <v>32.2</v>
      </c>
      <c r="N22" s="7">
        <v>1.04</v>
      </c>
      <c r="O22" s="8">
        <v>1.7536</v>
      </c>
      <c r="P22" s="9">
        <f t="array" ref="P22">I22/MAX(IF($A$2:$A$146=A22,$I$2:$I$146))</f>
        <v>1</v>
      </c>
      <c r="Q22" s="9">
        <f t="array" ref="Q22">J22/MAX(IF($A$2:$A$146=A22,$J$2:$J$146))</f>
        <v>0.7247820672</v>
      </c>
      <c r="R22" s="9">
        <f t="array" ref="R22">K22/MAX(IF($A$2:$A$146=A22,$K$2:$K$146))</f>
        <v>0.9</v>
      </c>
      <c r="S22" s="9">
        <f t="array" ref="S22">L22/MAX(IF($A$2:$A$146=A22,$L$2:$L$146))</f>
        <v>0.6625</v>
      </c>
      <c r="T22" s="9">
        <f t="array" ref="T22">M22/MAX(IF($A$2:$A$146=A22,$M$2:$M$146))</f>
        <v>0.9226361032</v>
      </c>
      <c r="U22" s="9">
        <f t="array" ref="U22">N22/MAX(IF($A$2:$A$146=A22,$N$2:$N$146))</f>
        <v>0.8125</v>
      </c>
      <c r="V22" s="9">
        <f t="array" ref="V22">MIN(IF($A$2:$A$146=A22,$O$2:$O$146))/O22</f>
        <v>0.8621977646</v>
      </c>
    </row>
    <row r="23" ht="15.0" customHeight="1">
      <c r="A23" s="3" t="s">
        <v>26</v>
      </c>
      <c r="B23" s="3" t="s">
        <v>23</v>
      </c>
      <c r="C23" s="3" t="s">
        <v>68</v>
      </c>
      <c r="D23" s="3" t="s">
        <v>69</v>
      </c>
      <c r="E23" s="3" t="s">
        <v>70</v>
      </c>
      <c r="F23" s="4">
        <v>848.0</v>
      </c>
      <c r="G23" s="4">
        <v>25.0</v>
      </c>
      <c r="H23" s="4">
        <v>113.0</v>
      </c>
      <c r="I23" s="14">
        <v>4.87</v>
      </c>
      <c r="J23" s="6">
        <v>46.6</v>
      </c>
      <c r="K23" s="7">
        <v>0.05</v>
      </c>
      <c r="L23" s="6">
        <v>1.5</v>
      </c>
      <c r="M23" s="6">
        <v>24.2</v>
      </c>
      <c r="N23" s="7">
        <v>0.54</v>
      </c>
      <c r="O23" s="8">
        <v>1.6796</v>
      </c>
      <c r="P23" s="9">
        <f t="array" ref="P23">I23/MAX(IF($A$2:$A$146=A23,$I$2:$I$146))</f>
        <v>1</v>
      </c>
      <c r="Q23" s="9">
        <f t="array" ref="Q23">J23/MAX(IF($A$2:$A$146=A23,$J$2:$J$146))</f>
        <v>0.7408585056</v>
      </c>
      <c r="R23" s="9">
        <f t="array" ref="R23">K23/MAX(IF($A$2:$A$146=A23,$K$2:$K$146))</f>
        <v>0.625</v>
      </c>
      <c r="S23" s="9">
        <f t="array" ref="S23">L23/MAX(IF($A$2:$A$146=A23,$L$2:$L$146))</f>
        <v>0.25</v>
      </c>
      <c r="T23" s="9">
        <f t="array" ref="T23">M23/MAX(IF($A$2:$A$146=A23,$M$2:$M$146))</f>
        <v>0.9918032787</v>
      </c>
      <c r="U23" s="9">
        <f t="array" ref="U23">N23/MAX(IF($A$2:$A$146=A23,$N$2:$N$146))</f>
        <v>0.4736842105</v>
      </c>
      <c r="V23" s="9">
        <f t="array" ref="V23">MIN(IF($A$2:$A$146=A23,$O$2:$O$146))/O23</f>
        <v>0.8895272684</v>
      </c>
    </row>
    <row r="24" ht="15.0" customHeight="1">
      <c r="A24" s="3" t="s">
        <v>29</v>
      </c>
      <c r="B24" s="3" t="s">
        <v>23</v>
      </c>
      <c r="C24" s="3" t="s">
        <v>68</v>
      </c>
      <c r="D24" s="3" t="s">
        <v>71</v>
      </c>
      <c r="E24" s="3" t="s">
        <v>72</v>
      </c>
      <c r="F24" s="4">
        <v>848.0</v>
      </c>
      <c r="G24" s="4">
        <v>20.0</v>
      </c>
      <c r="H24" s="4">
        <v>127.0</v>
      </c>
      <c r="I24" s="5">
        <v>4.36</v>
      </c>
      <c r="J24" s="6">
        <v>40.9</v>
      </c>
      <c r="K24" s="7">
        <v>0.03</v>
      </c>
      <c r="L24" s="6">
        <v>3.3</v>
      </c>
      <c r="M24" s="10">
        <v>16.5</v>
      </c>
      <c r="N24" s="7">
        <v>0.4</v>
      </c>
      <c r="O24" s="8">
        <v>1.61625</v>
      </c>
      <c r="P24" s="9">
        <f t="array" ref="P24">I24/MAX(IF($A$2:$A$146=A24,$I$2:$I$146))</f>
        <v>0.9376344086</v>
      </c>
      <c r="Q24" s="9">
        <f t="array" ref="Q24">J24/MAX(IF($A$2:$A$146=A24,$J$2:$J$146))</f>
        <v>0.7731568998</v>
      </c>
      <c r="R24" s="9">
        <f t="array" ref="R24">K24/MAX(IF($A$2:$A$146=A24,$K$2:$K$146))</f>
        <v>0.6</v>
      </c>
      <c r="S24" s="9">
        <f t="array" ref="S24">L24/MAX(IF($A$2:$A$146=A24,$L$2:$L$146))</f>
        <v>0.1141868512</v>
      </c>
      <c r="T24" s="9">
        <f t="array" ref="T24">M24/MAX(IF($A$2:$A$146=A24,$M$2:$M$146))</f>
        <v>1</v>
      </c>
      <c r="U24" s="9">
        <f t="array" ref="U24">N24/MAX(IF($A$2:$A$146=A24,$N$2:$N$146))</f>
        <v>0.6060606061</v>
      </c>
      <c r="V24" s="9">
        <f t="array" ref="V24">MIN(IF($A$2:$A$146=A24,$O$2:$O$146))/O24</f>
        <v>0.9132869296</v>
      </c>
    </row>
    <row r="25" ht="15.0" customHeight="1">
      <c r="A25" s="3" t="s">
        <v>32</v>
      </c>
      <c r="B25" s="3" t="s">
        <v>23</v>
      </c>
      <c r="C25" s="3" t="s">
        <v>68</v>
      </c>
      <c r="D25" s="3" t="s">
        <v>73</v>
      </c>
      <c r="E25" s="3" t="s">
        <v>74</v>
      </c>
      <c r="F25" s="4">
        <v>848.0</v>
      </c>
      <c r="G25" s="4">
        <v>34.0</v>
      </c>
      <c r="H25" s="4">
        <v>126.0</v>
      </c>
      <c r="I25" s="5">
        <v>4.34</v>
      </c>
      <c r="J25" s="6">
        <v>43.3</v>
      </c>
      <c r="K25" s="11">
        <v>0.04</v>
      </c>
      <c r="L25" s="6">
        <v>2.4</v>
      </c>
      <c r="M25" s="10">
        <v>17.3</v>
      </c>
      <c r="N25" s="7">
        <v>0.45</v>
      </c>
      <c r="O25" s="8">
        <v>1.62225</v>
      </c>
      <c r="P25" s="9">
        <f t="array" ref="P25">I25/MAX(IF($A$2:$A$146=A25,$I$2:$I$146))</f>
        <v>0.9455337691</v>
      </c>
      <c r="Q25" s="9">
        <f t="array" ref="Q25">J25/MAX(IF($A$2:$A$146=A25,$J$2:$J$146))</f>
        <v>0.4445585216</v>
      </c>
      <c r="R25" s="9">
        <f t="array" ref="R25">K25/MAX(IF($A$2:$A$146=A25,$K$2:$K$146))</f>
        <v>1</v>
      </c>
      <c r="S25" s="9">
        <f t="array" ref="S25">L25/MAX(IF($A$2:$A$146=A25,$L$2:$L$146))</f>
        <v>0.1387283237</v>
      </c>
      <c r="T25" s="9">
        <f t="array" ref="T25">M25/MAX(IF($A$2:$A$146=A25,$M$2:$M$146))</f>
        <v>1</v>
      </c>
      <c r="U25" s="9">
        <f t="array" ref="U25">N25/MAX(IF($A$2:$A$146=A25,$N$2:$N$146))</f>
        <v>0.8333333333</v>
      </c>
      <c r="V25" s="9">
        <f t="array" ref="V25">MIN(IF($A$2:$A$146=A25,$O$2:$O$146))/O25</f>
        <v>0.9097857913</v>
      </c>
    </row>
    <row r="26" ht="15.0" customHeight="1">
      <c r="A26" s="3" t="s">
        <v>35</v>
      </c>
      <c r="B26" s="3" t="s">
        <v>23</v>
      </c>
      <c r="C26" s="3" t="s">
        <v>68</v>
      </c>
      <c r="D26" s="3" t="s">
        <v>75</v>
      </c>
      <c r="E26" s="3" t="s">
        <v>76</v>
      </c>
      <c r="F26" s="4">
        <v>848.0</v>
      </c>
      <c r="G26" s="4">
        <v>31.0</v>
      </c>
      <c r="H26" s="4">
        <v>151.0</v>
      </c>
      <c r="I26" s="5">
        <v>4.04</v>
      </c>
      <c r="J26" s="6">
        <v>45.4</v>
      </c>
      <c r="K26" s="11">
        <v>0.04</v>
      </c>
      <c r="L26" s="6">
        <v>4.2</v>
      </c>
      <c r="M26" s="10">
        <v>15.6</v>
      </c>
      <c r="N26" s="7">
        <v>0.45</v>
      </c>
      <c r="O26" s="8">
        <v>1.597</v>
      </c>
      <c r="P26" s="9">
        <f t="array" ref="P26">I26/MAX(IF($A$2:$A$146=A26,$I$2:$I$146))</f>
        <v>0.9373549884</v>
      </c>
      <c r="Q26" s="9">
        <f t="array" ref="Q26">J26/MAX(IF($A$2:$A$146=A26,$J$2:$J$146))</f>
        <v>0.9116465863</v>
      </c>
      <c r="R26" s="9">
        <f t="array" ref="R26">K26/MAX(IF($A$2:$A$146=A26,$K$2:$K$146))</f>
        <v>1</v>
      </c>
      <c r="S26" s="9">
        <f t="array" ref="S26">L26/MAX(IF($A$2:$A$146=A26,$L$2:$L$146))</f>
        <v>0.724137931</v>
      </c>
      <c r="T26" s="9">
        <f t="array" ref="T26">M26/MAX(IF($A$2:$A$146=A26,$M$2:$M$146))</f>
        <v>1</v>
      </c>
      <c r="U26" s="9">
        <f t="array" ref="U26">N26/MAX(IF($A$2:$A$146=A26,$N$2:$N$146))</f>
        <v>0.9183673469</v>
      </c>
      <c r="V26" s="9">
        <f t="array" ref="V26">MIN(IF($A$2:$A$146=A26,$O$2:$O$146))/O26</f>
        <v>0.9304946775</v>
      </c>
    </row>
    <row r="27" ht="15.0" customHeight="1">
      <c r="A27" s="3" t="s">
        <v>22</v>
      </c>
      <c r="B27" s="3" t="s">
        <v>23</v>
      </c>
      <c r="C27" s="3" t="s">
        <v>77</v>
      </c>
      <c r="D27" s="3" t="s">
        <v>77</v>
      </c>
      <c r="E27" s="3" t="s">
        <v>78</v>
      </c>
      <c r="F27" s="4">
        <v>848.0</v>
      </c>
      <c r="G27" s="4">
        <v>16.0</v>
      </c>
      <c r="H27" s="4">
        <v>38.0</v>
      </c>
      <c r="I27" s="5">
        <v>4.19</v>
      </c>
      <c r="J27" s="6">
        <v>63.7</v>
      </c>
      <c r="K27" s="7">
        <v>0.07</v>
      </c>
      <c r="L27" s="6">
        <v>4.4</v>
      </c>
      <c r="M27" s="6">
        <v>9.3</v>
      </c>
      <c r="N27" s="7">
        <v>1.15</v>
      </c>
      <c r="O27" s="8">
        <v>1.59925</v>
      </c>
      <c r="P27" s="9">
        <f t="array" ref="P27">I27/MAX(IF($A$2:$A$146=A27,$I$2:$I$146))</f>
        <v>0.8396793587</v>
      </c>
      <c r="Q27" s="9">
        <f t="array" ref="Q27">J27/MAX(IF($A$2:$A$146=A27,$J$2:$J$146))</f>
        <v>0.7932752179</v>
      </c>
      <c r="R27" s="9">
        <f t="array" ref="R27">K27/MAX(IF($A$2:$A$146=A27,$K$2:$K$146))</f>
        <v>0.7</v>
      </c>
      <c r="S27" s="9">
        <f t="array" ref="S27">L27/MAX(IF($A$2:$A$146=A27,$L$2:$L$146))</f>
        <v>0.55</v>
      </c>
      <c r="T27" s="9">
        <f t="array" ref="T27">M27/MAX(IF($A$2:$A$146=A27,$M$2:$M$146))</f>
        <v>0.2664756447</v>
      </c>
      <c r="U27" s="9">
        <f t="array" ref="U27">N27/MAX(IF($A$2:$A$146=A27,$N$2:$N$146))</f>
        <v>0.8984375</v>
      </c>
      <c r="V27" s="9">
        <f t="array" ref="V27">MIN(IF($A$2:$A$146=A27,$O$2:$O$146))/O27</f>
        <v>0.9454119118</v>
      </c>
      <c r="W27" s="13"/>
      <c r="X27" s="13"/>
      <c r="Z27" s="13"/>
      <c r="AA27" s="13"/>
      <c r="AB27" s="13"/>
      <c r="AC27" s="13"/>
    </row>
    <row r="28" ht="15.0" customHeight="1">
      <c r="A28" s="3" t="s">
        <v>26</v>
      </c>
      <c r="B28" s="3" t="s">
        <v>23</v>
      </c>
      <c r="C28" s="3" t="s">
        <v>77</v>
      </c>
      <c r="D28" s="3" t="s">
        <v>79</v>
      </c>
      <c r="E28" s="3" t="s">
        <v>80</v>
      </c>
      <c r="F28" s="4">
        <v>848.0</v>
      </c>
      <c r="G28" s="4">
        <v>28.0</v>
      </c>
      <c r="H28" s="4">
        <v>176.0</v>
      </c>
      <c r="I28" s="5">
        <v>4.09</v>
      </c>
      <c r="J28" s="6">
        <v>57.4</v>
      </c>
      <c r="K28" s="11">
        <v>0.08</v>
      </c>
      <c r="L28" s="6">
        <v>1.8</v>
      </c>
      <c r="M28" s="6">
        <v>6.9</v>
      </c>
      <c r="N28" s="11">
        <v>1.14</v>
      </c>
      <c r="O28" s="8">
        <v>1.51235</v>
      </c>
      <c r="P28" s="9">
        <f t="array" ref="P28">I28/MAX(IF($A$2:$A$146=A28,$I$2:$I$146))</f>
        <v>0.839835729</v>
      </c>
      <c r="Q28" s="9">
        <f t="array" ref="Q28">J28/MAX(IF($A$2:$A$146=A28,$J$2:$J$146))</f>
        <v>0.9125596184</v>
      </c>
      <c r="R28" s="9">
        <f t="array" ref="R28">K28/MAX(IF($A$2:$A$146=A28,$K$2:$K$146))</f>
        <v>1</v>
      </c>
      <c r="S28" s="9">
        <f t="array" ref="S28">L28/MAX(IF($A$2:$A$146=A28,$L$2:$L$146))</f>
        <v>0.3</v>
      </c>
      <c r="T28" s="9">
        <f t="array" ref="T28">M28/MAX(IF($A$2:$A$146=A28,$M$2:$M$146))</f>
        <v>0.2827868852</v>
      </c>
      <c r="U28" s="9">
        <f t="array" ref="U28">N28/MAX(IF($A$2:$A$146=A28,$N$2:$N$146))</f>
        <v>1</v>
      </c>
      <c r="V28" s="9">
        <f t="array" ref="V28">MIN(IF($A$2:$A$146=A28,$O$2:$O$146))/O28</f>
        <v>0.9878996264</v>
      </c>
    </row>
    <row r="29" ht="15.0" customHeight="1">
      <c r="A29" s="3" t="s">
        <v>29</v>
      </c>
      <c r="B29" s="3" t="s">
        <v>23</v>
      </c>
      <c r="C29" s="3" t="s">
        <v>77</v>
      </c>
      <c r="D29" s="3" t="s">
        <v>81</v>
      </c>
      <c r="E29" s="3" t="s">
        <v>82</v>
      </c>
      <c r="F29" s="4">
        <v>848.0</v>
      </c>
      <c r="G29" s="4">
        <v>33.0</v>
      </c>
      <c r="H29" s="4">
        <v>126.0</v>
      </c>
      <c r="I29" s="5">
        <v>3.99</v>
      </c>
      <c r="J29" s="6">
        <v>50.0</v>
      </c>
      <c r="K29" s="7">
        <v>0.04</v>
      </c>
      <c r="L29" s="6">
        <v>3.8</v>
      </c>
      <c r="M29" s="6">
        <v>5.0</v>
      </c>
      <c r="N29" s="7">
        <v>0.57</v>
      </c>
      <c r="O29" s="8">
        <v>1.5288</v>
      </c>
      <c r="P29" s="9">
        <f t="array" ref="P29">I29/MAX(IF($A$2:$A$146=A29,$I$2:$I$146))</f>
        <v>0.8580645161</v>
      </c>
      <c r="Q29" s="9">
        <f t="array" ref="Q29">J29/MAX(IF($A$2:$A$146=A29,$J$2:$J$146))</f>
        <v>0.9451795841</v>
      </c>
      <c r="R29" s="9">
        <f t="array" ref="R29">K29/MAX(IF($A$2:$A$146=A29,$K$2:$K$146))</f>
        <v>0.8</v>
      </c>
      <c r="S29" s="9">
        <f t="array" ref="S29">L29/MAX(IF($A$2:$A$146=A29,$L$2:$L$146))</f>
        <v>0.1314878893</v>
      </c>
      <c r="T29" s="9">
        <f t="array" ref="T29">M29/MAX(IF($A$2:$A$146=A29,$M$2:$M$146))</f>
        <v>0.303030303</v>
      </c>
      <c r="U29" s="9">
        <f t="array" ref="U29">N29/MAX(IF($A$2:$A$146=A29,$N$2:$N$146))</f>
        <v>0.8636363636</v>
      </c>
      <c r="V29" s="9">
        <f t="array" ref="V29">MIN(IF($A$2:$A$146=A29,$O$2:$O$146))/O29</f>
        <v>0.9655285191</v>
      </c>
    </row>
    <row r="30" ht="15.0" customHeight="1">
      <c r="A30" s="3" t="s">
        <v>32</v>
      </c>
      <c r="B30" s="3" t="s">
        <v>23</v>
      </c>
      <c r="C30" s="3" t="s">
        <v>77</v>
      </c>
      <c r="D30" s="3" t="s">
        <v>83</v>
      </c>
      <c r="E30" s="3" t="s">
        <v>84</v>
      </c>
      <c r="F30" s="4">
        <v>848.0</v>
      </c>
      <c r="G30" s="4">
        <v>23.0</v>
      </c>
      <c r="H30" s="4">
        <v>151.0</v>
      </c>
      <c r="I30" s="5">
        <v>3.97</v>
      </c>
      <c r="J30" s="6">
        <v>47.1</v>
      </c>
      <c r="K30" s="11">
        <v>0.04</v>
      </c>
      <c r="L30" s="6">
        <v>0.9</v>
      </c>
      <c r="M30" s="6">
        <v>4.9</v>
      </c>
      <c r="N30" s="11">
        <v>0.54</v>
      </c>
      <c r="O30" s="8">
        <v>1.51585</v>
      </c>
      <c r="P30" s="9">
        <f t="array" ref="P30">I30/MAX(IF($A$2:$A$146=A30,$I$2:$I$146))</f>
        <v>0.8649237473</v>
      </c>
      <c r="Q30" s="9">
        <f t="array" ref="Q30">J30/MAX(IF($A$2:$A$146=A30,$J$2:$J$146))</f>
        <v>0.4835728953</v>
      </c>
      <c r="R30" s="9">
        <f t="array" ref="R30">K30/MAX(IF($A$2:$A$146=A30,$K$2:$K$146))</f>
        <v>1</v>
      </c>
      <c r="S30" s="9">
        <f t="array" ref="S30">L30/MAX(IF($A$2:$A$146=A30,$L$2:$L$146))</f>
        <v>0.05202312139</v>
      </c>
      <c r="T30" s="9">
        <f t="array" ref="T30">M30/MAX(IF($A$2:$A$146=A30,$M$2:$M$146))</f>
        <v>0.2832369942</v>
      </c>
      <c r="U30" s="9">
        <f t="array" ref="U30">N30/MAX(IF($A$2:$A$146=A30,$N$2:$N$146))</f>
        <v>1</v>
      </c>
      <c r="V30" s="9">
        <f t="array" ref="V30">MIN(IF($A$2:$A$146=A30,$O$2:$O$146))/O30</f>
        <v>0.9736451496</v>
      </c>
    </row>
    <row r="31" ht="15.0" customHeight="1">
      <c r="A31" s="3" t="s">
        <v>35</v>
      </c>
      <c r="B31" s="3" t="s">
        <v>23</v>
      </c>
      <c r="C31" s="3" t="s">
        <v>77</v>
      </c>
      <c r="D31" s="3" t="s">
        <v>85</v>
      </c>
      <c r="E31" s="3" t="s">
        <v>86</v>
      </c>
      <c r="F31" s="4">
        <v>848.0</v>
      </c>
      <c r="G31" s="4">
        <v>37.0</v>
      </c>
      <c r="H31" s="4">
        <v>151.0</v>
      </c>
      <c r="I31" s="5">
        <v>4.2</v>
      </c>
      <c r="J31" s="6">
        <v>47.7</v>
      </c>
      <c r="K31" s="7">
        <v>0.03</v>
      </c>
      <c r="L31" s="6">
        <v>3.5</v>
      </c>
      <c r="M31" s="6">
        <v>4.1</v>
      </c>
      <c r="N31" s="7">
        <v>0.43</v>
      </c>
      <c r="O31" s="8">
        <v>1.51095</v>
      </c>
      <c r="P31" s="9">
        <f t="array" ref="P31">I31/MAX(IF($A$2:$A$146=A31,$I$2:$I$146))</f>
        <v>0.9744779582</v>
      </c>
      <c r="Q31" s="9">
        <f t="array" ref="Q31">J31/MAX(IF($A$2:$A$146=A31,$J$2:$J$146))</f>
        <v>0.9578313253</v>
      </c>
      <c r="R31" s="9">
        <f t="array" ref="R31">K31/MAX(IF($A$2:$A$146=A31,$K$2:$K$146))</f>
        <v>0.75</v>
      </c>
      <c r="S31" s="9">
        <f t="array" ref="S31">L31/MAX(IF($A$2:$A$146=A31,$L$2:$L$146))</f>
        <v>0.6034482759</v>
      </c>
      <c r="T31" s="9">
        <f t="array" ref="T31">M31/MAX(IF($A$2:$A$146=A31,$M$2:$M$146))</f>
        <v>0.2628205128</v>
      </c>
      <c r="U31" s="9">
        <f t="array" ref="U31">N31/MAX(IF($A$2:$A$146=A31,$N$2:$N$146))</f>
        <v>0.8775510204</v>
      </c>
      <c r="V31" s="9">
        <f t="array" ref="V31">MIN(IF($A$2:$A$146=A31,$O$2:$O$146))/O31</f>
        <v>0.98348721</v>
      </c>
    </row>
    <row r="32" ht="15.0" customHeight="1">
      <c r="A32" s="15" t="s">
        <v>22</v>
      </c>
      <c r="B32" s="15" t="s">
        <v>87</v>
      </c>
      <c r="C32" s="15" t="s">
        <v>88</v>
      </c>
      <c r="D32" s="15" t="s">
        <v>88</v>
      </c>
      <c r="E32" s="15" t="s">
        <v>89</v>
      </c>
      <c r="F32" s="16">
        <v>903.0</v>
      </c>
      <c r="G32" s="16">
        <v>22.0</v>
      </c>
      <c r="H32" s="16">
        <v>76.0</v>
      </c>
      <c r="I32" s="17">
        <v>4.32</v>
      </c>
      <c r="J32" s="18">
        <v>47.2</v>
      </c>
      <c r="K32" s="19">
        <v>0.07</v>
      </c>
      <c r="L32" s="18">
        <v>3.8</v>
      </c>
      <c r="M32" s="18">
        <v>10.8</v>
      </c>
      <c r="N32" s="19">
        <v>0.85</v>
      </c>
      <c r="O32" s="20">
        <v>1.5945</v>
      </c>
      <c r="P32" s="21">
        <f t="array" ref="P32">I32/MAX(IF($A$2:$A$146=A32,$I$2:$I$146))</f>
        <v>0.8657314629</v>
      </c>
      <c r="Q32" s="21">
        <f t="array" ref="Q32">J32/MAX(IF($A$2:$A$146=A32,$J$2:$J$146))</f>
        <v>0.5877957659</v>
      </c>
      <c r="R32" s="21">
        <f t="array" ref="R32">K32/MAX(IF($A$2:$A$146=A32,$K$2:$K$146))</f>
        <v>0.7</v>
      </c>
      <c r="S32" s="21">
        <f t="array" ref="S32">L32/MAX(IF($A$2:$A$146=A32,$L$2:$L$146))</f>
        <v>0.475</v>
      </c>
      <c r="T32" s="21">
        <f t="array" ref="T32">M32/MAX(IF($A$2:$A$146=A32,$M$2:$M$146))</f>
        <v>0.3094555874</v>
      </c>
      <c r="U32" s="21">
        <f t="array" ref="U32">N32/MAX(IF($A$2:$A$146=A32,$N$2:$N$146))</f>
        <v>0.6640625</v>
      </c>
      <c r="V32" s="21">
        <f t="array" ref="V32">MIN(IF($A$2:$A$146=A32,$O$2:$O$146))/O32</f>
        <v>0.9482282847</v>
      </c>
    </row>
    <row r="33" ht="15.0" customHeight="1">
      <c r="A33" s="15" t="s">
        <v>26</v>
      </c>
      <c r="B33" s="15" t="s">
        <v>87</v>
      </c>
      <c r="C33" s="15" t="s">
        <v>88</v>
      </c>
      <c r="D33" s="15" t="s">
        <v>90</v>
      </c>
      <c r="E33" s="15" t="s">
        <v>58</v>
      </c>
      <c r="F33" s="16">
        <v>885.0</v>
      </c>
      <c r="G33" s="16">
        <v>14.0</v>
      </c>
      <c r="H33" s="16">
        <v>101.0</v>
      </c>
      <c r="I33" s="17">
        <v>4.16</v>
      </c>
      <c r="J33" s="18">
        <v>47.0</v>
      </c>
      <c r="K33" s="19">
        <v>0.05</v>
      </c>
      <c r="L33" s="18">
        <v>4.4</v>
      </c>
      <c r="M33" s="18">
        <v>8.6</v>
      </c>
      <c r="N33" s="19">
        <v>0.6</v>
      </c>
      <c r="O33" s="20">
        <v>1.568</v>
      </c>
      <c r="P33" s="21">
        <f t="array" ref="P33">I33/MAX(IF($A$2:$A$146=A33,$I$2:$I$146))</f>
        <v>0.8542094456</v>
      </c>
      <c r="Q33" s="21">
        <f t="array" ref="Q33">J33/MAX(IF($A$2:$A$146=A33,$J$2:$J$146))</f>
        <v>0.747217806</v>
      </c>
      <c r="R33" s="21">
        <f t="array" ref="R33">K33/MAX(IF($A$2:$A$146=A33,$K$2:$K$146))</f>
        <v>0.625</v>
      </c>
      <c r="S33" s="21">
        <f t="array" ref="S33">L33/MAX(IF($A$2:$A$146=A33,$L$2:$L$146))</f>
        <v>0.7333333333</v>
      </c>
      <c r="T33" s="21">
        <f t="array" ref="T33">M33/MAX(IF($A$2:$A$146=A33,$M$2:$M$146))</f>
        <v>0.3524590164</v>
      </c>
      <c r="U33" s="21">
        <f t="array" ref="U33">N33/MAX(IF($A$2:$A$146=A33,$N$2:$N$146))</f>
        <v>0.5263157895</v>
      </c>
      <c r="V33" s="21">
        <f t="array" ref="V33">MIN(IF($A$2:$A$146=A33,$O$2:$O$146))/O33</f>
        <v>0.9528380102</v>
      </c>
    </row>
    <row r="34" ht="15.0" customHeight="1">
      <c r="A34" s="15" t="s">
        <v>29</v>
      </c>
      <c r="B34" s="15" t="s">
        <v>87</v>
      </c>
      <c r="C34" s="15" t="s">
        <v>88</v>
      </c>
      <c r="D34" s="15" t="s">
        <v>91</v>
      </c>
      <c r="E34" s="15" t="s">
        <v>92</v>
      </c>
      <c r="F34" s="16">
        <v>833.0</v>
      </c>
      <c r="G34" s="16">
        <v>16.0</v>
      </c>
      <c r="H34" s="16">
        <v>151.0</v>
      </c>
      <c r="I34" s="17">
        <v>4.03</v>
      </c>
      <c r="J34" s="18">
        <v>44.5</v>
      </c>
      <c r="K34" s="19">
        <v>0.04</v>
      </c>
      <c r="L34" s="18">
        <v>3.3</v>
      </c>
      <c r="M34" s="18">
        <v>5.7</v>
      </c>
      <c r="N34" s="19">
        <v>0.48</v>
      </c>
      <c r="O34" s="20">
        <v>1.52245</v>
      </c>
      <c r="P34" s="21">
        <f t="array" ref="P34">I34/MAX(IF($A$2:$A$146=A34,$I$2:$I$146))</f>
        <v>0.8666666667</v>
      </c>
      <c r="Q34" s="21">
        <f t="array" ref="Q34">J34/MAX(IF($A$2:$A$146=A34,$J$2:$J$146))</f>
        <v>0.8412098299</v>
      </c>
      <c r="R34" s="21">
        <f t="array" ref="R34">K34/MAX(IF($A$2:$A$146=A34,$K$2:$K$146))</f>
        <v>0.8</v>
      </c>
      <c r="S34" s="21">
        <f t="array" ref="S34">L34/MAX(IF($A$2:$A$146=A34,$L$2:$L$146))</f>
        <v>0.1141868512</v>
      </c>
      <c r="T34" s="21">
        <f t="array" ref="T34">M34/MAX(IF($A$2:$A$146=A34,$M$2:$M$146))</f>
        <v>0.3454545455</v>
      </c>
      <c r="U34" s="21">
        <f t="array" ref="U34">N34/MAX(IF($A$2:$A$146=A34,$N$2:$N$146))</f>
        <v>0.7272727273</v>
      </c>
      <c r="V34" s="21">
        <f t="array" ref="V34">MIN(IF($A$2:$A$146=A34,$O$2:$O$146))/O34</f>
        <v>0.9695556504</v>
      </c>
    </row>
    <row r="35" ht="15.0" customHeight="1">
      <c r="A35" s="15" t="s">
        <v>32</v>
      </c>
      <c r="B35" s="15" t="s">
        <v>87</v>
      </c>
      <c r="C35" s="15" t="s">
        <v>88</v>
      </c>
      <c r="D35" s="15" t="s">
        <v>93</v>
      </c>
      <c r="E35" s="15" t="s">
        <v>94</v>
      </c>
      <c r="F35" s="16">
        <v>808.0</v>
      </c>
      <c r="G35" s="16">
        <v>15.0</v>
      </c>
      <c r="H35" s="16">
        <v>177.0</v>
      </c>
      <c r="I35" s="17">
        <v>4.02</v>
      </c>
      <c r="J35" s="18">
        <v>42.8</v>
      </c>
      <c r="K35" s="11">
        <v>0.04</v>
      </c>
      <c r="L35" s="18">
        <v>0.9</v>
      </c>
      <c r="M35" s="18">
        <v>5.6</v>
      </c>
      <c r="N35" s="19">
        <v>0.5</v>
      </c>
      <c r="O35" s="20">
        <v>1.5085</v>
      </c>
      <c r="P35" s="21">
        <f t="array" ref="P35">I35/MAX(IF($A$2:$A$146=A35,$I$2:$I$146))</f>
        <v>0.8758169935</v>
      </c>
      <c r="Q35" s="21">
        <f t="array" ref="Q35">J35/MAX(IF($A$2:$A$146=A35,$J$2:$J$146))</f>
        <v>0.4394250513</v>
      </c>
      <c r="R35" s="21">
        <f t="array" ref="R35">K35/MAX(IF($A$2:$A$146=A35,$K$2:$K$146))</f>
        <v>1</v>
      </c>
      <c r="S35" s="21">
        <f t="array" ref="S35">L35/MAX(IF($A$2:$A$146=A35,$L$2:$L$146))</f>
        <v>0.05202312139</v>
      </c>
      <c r="T35" s="21">
        <f t="array" ref="T35">M35/MAX(IF($A$2:$A$146=A35,$M$2:$M$146))</f>
        <v>0.323699422</v>
      </c>
      <c r="U35" s="21">
        <f t="array" ref="U35">N35/MAX(IF($A$2:$A$146=A35,$N$2:$N$146))</f>
        <v>0.9259259259</v>
      </c>
      <c r="V35" s="21">
        <f t="array" ref="V35">MIN(IF($A$2:$A$146=A35,$O$2:$O$146))/O35</f>
        <v>0.9783891283</v>
      </c>
    </row>
    <row r="36" ht="15.0" customHeight="1">
      <c r="A36" s="15" t="s">
        <v>35</v>
      </c>
      <c r="B36" s="15" t="s">
        <v>87</v>
      </c>
      <c r="C36" s="15" t="s">
        <v>88</v>
      </c>
      <c r="D36" s="15" t="s">
        <v>95</v>
      </c>
      <c r="E36" s="15" t="s">
        <v>96</v>
      </c>
      <c r="F36" s="16">
        <v>806.0</v>
      </c>
      <c r="G36" s="16">
        <v>17.0</v>
      </c>
      <c r="H36" s="16">
        <v>176.0</v>
      </c>
      <c r="I36" s="17">
        <v>4.01</v>
      </c>
      <c r="J36" s="18">
        <v>44.2</v>
      </c>
      <c r="K36" s="19">
        <v>0.03</v>
      </c>
      <c r="L36" s="10">
        <v>5.8</v>
      </c>
      <c r="M36" s="18">
        <v>5.8</v>
      </c>
      <c r="N36" s="19">
        <v>0.43</v>
      </c>
      <c r="O36" s="20">
        <v>1.5112</v>
      </c>
      <c r="P36" s="21">
        <f t="array" ref="P36">I36/MAX(IF($A$2:$A$146=A36,$I$2:$I$146))</f>
        <v>0.9303944316</v>
      </c>
      <c r="Q36" s="21">
        <f t="array" ref="Q36">J36/MAX(IF($A$2:$A$146=A36,$J$2:$J$146))</f>
        <v>0.8875502008</v>
      </c>
      <c r="R36" s="21">
        <f t="array" ref="R36">K36/MAX(IF($A$2:$A$146=A36,$K$2:$K$146))</f>
        <v>0.75</v>
      </c>
      <c r="S36" s="21">
        <f t="array" ref="S36">L36/MAX(IF($A$2:$A$146=A36,$L$2:$L$146))</f>
        <v>1</v>
      </c>
      <c r="T36" s="21">
        <f t="array" ref="T36">M36/MAX(IF($A$2:$A$146=A36,$M$2:$M$146))</f>
        <v>0.3717948718</v>
      </c>
      <c r="U36" s="21">
        <f t="array" ref="U36">N36/MAX(IF($A$2:$A$146=A36,$N$2:$N$146))</f>
        <v>0.8775510204</v>
      </c>
      <c r="V36" s="21">
        <f t="array" ref="V36">MIN(IF($A$2:$A$146=A36,$O$2:$O$146))/O36</f>
        <v>0.9833245103</v>
      </c>
    </row>
    <row r="37" ht="15.0" customHeight="1">
      <c r="A37" s="15" t="s">
        <v>22</v>
      </c>
      <c r="B37" s="15" t="s">
        <v>87</v>
      </c>
      <c r="C37" s="15" t="s">
        <v>97</v>
      </c>
      <c r="D37" s="15" t="s">
        <v>97</v>
      </c>
      <c r="E37" s="15" t="s">
        <v>98</v>
      </c>
      <c r="F37" s="16">
        <v>908.0</v>
      </c>
      <c r="G37" s="16">
        <v>17.0</v>
      </c>
      <c r="H37" s="16">
        <v>75.0</v>
      </c>
      <c r="I37" s="17">
        <v>3.93</v>
      </c>
      <c r="J37" s="18">
        <v>60.1</v>
      </c>
      <c r="K37" s="19">
        <v>0.06</v>
      </c>
      <c r="L37" s="18">
        <v>3.8</v>
      </c>
      <c r="M37" s="18">
        <v>2.8</v>
      </c>
      <c r="N37" s="19">
        <v>0.87</v>
      </c>
      <c r="O37" s="20">
        <v>1.5348</v>
      </c>
      <c r="P37" s="21">
        <f t="array" ref="P37">I37/MAX(IF($A$2:$A$146=A37,$I$2:$I$146))</f>
        <v>0.7875751503</v>
      </c>
      <c r="Q37" s="21">
        <f t="array" ref="Q37">J37/MAX(IF($A$2:$A$146=A37,$J$2:$J$146))</f>
        <v>0.7484433375</v>
      </c>
      <c r="R37" s="21">
        <f t="array" ref="R37">K37/MAX(IF($A$2:$A$146=A37,$K$2:$K$146))</f>
        <v>0.6</v>
      </c>
      <c r="S37" s="21">
        <f t="array" ref="S37">L37/MAX(IF($A$2:$A$146=A37,$L$2:$L$146))</f>
        <v>0.475</v>
      </c>
      <c r="T37" s="21">
        <f t="array" ref="T37">M37/MAX(IF($A$2:$A$146=A37,$M$2:$M$146))</f>
        <v>0.08022922636</v>
      </c>
      <c r="U37" s="21">
        <f t="array" ref="U37">N37/MAX(IF($A$2:$A$146=A37,$N$2:$N$146))</f>
        <v>0.6796875</v>
      </c>
      <c r="V37" s="21">
        <f t="array" ref="V37">MIN(IF($A$2:$A$146=A37,$O$2:$O$146))/O37</f>
        <v>0.9851120667</v>
      </c>
    </row>
    <row r="38" ht="15.0" customHeight="1">
      <c r="A38" s="15" t="s">
        <v>26</v>
      </c>
      <c r="B38" s="15" t="s">
        <v>87</v>
      </c>
      <c r="C38" s="15" t="s">
        <v>97</v>
      </c>
      <c r="D38" s="15" t="s">
        <v>99</v>
      </c>
      <c r="E38" s="15" t="s">
        <v>100</v>
      </c>
      <c r="F38" s="16">
        <v>856.0</v>
      </c>
      <c r="G38" s="16">
        <v>18.0</v>
      </c>
      <c r="H38" s="16">
        <v>126.0</v>
      </c>
      <c r="I38" s="17">
        <v>3.91</v>
      </c>
      <c r="J38" s="10">
        <v>62.9</v>
      </c>
      <c r="K38" s="19">
        <v>0.06</v>
      </c>
      <c r="L38" s="18">
        <v>4.6</v>
      </c>
      <c r="M38" s="18">
        <v>2.5</v>
      </c>
      <c r="N38" s="19">
        <v>0.75</v>
      </c>
      <c r="O38" s="20">
        <v>1.50825</v>
      </c>
      <c r="P38" s="21">
        <f t="array" ref="P38">I38/MAX(IF($A$2:$A$146=A38,$I$2:$I$146))</f>
        <v>0.8028747433</v>
      </c>
      <c r="Q38" s="21">
        <f t="array" ref="Q38">J38/MAX(IF($A$2:$A$146=A38,$J$2:$J$146))</f>
        <v>1</v>
      </c>
      <c r="R38" s="21">
        <f t="array" ref="R38">K38/MAX(IF($A$2:$A$146=A38,$K$2:$K$146))</f>
        <v>0.75</v>
      </c>
      <c r="S38" s="21">
        <f t="array" ref="S38">L38/MAX(IF($A$2:$A$146=A38,$L$2:$L$146))</f>
        <v>0.7666666667</v>
      </c>
      <c r="T38" s="21">
        <f t="array" ref="T38">M38/MAX(IF($A$2:$A$146=A38,$M$2:$M$146))</f>
        <v>0.1024590164</v>
      </c>
      <c r="U38" s="21">
        <f t="array" ref="U38">N38/MAX(IF($A$2:$A$146=A38,$N$2:$N$146))</f>
        <v>0.6578947368</v>
      </c>
      <c r="V38" s="21">
        <f t="array" ref="V38">MIN(IF($A$2:$A$146=A38,$O$2:$O$146))/O38</f>
        <v>0.9905851152</v>
      </c>
    </row>
    <row r="39" ht="15.0" customHeight="1">
      <c r="A39" s="15" t="s">
        <v>29</v>
      </c>
      <c r="B39" s="15" t="s">
        <v>87</v>
      </c>
      <c r="C39" s="15" t="s">
        <v>97</v>
      </c>
      <c r="D39" s="15" t="s">
        <v>101</v>
      </c>
      <c r="E39" s="15" t="s">
        <v>102</v>
      </c>
      <c r="F39" s="16">
        <v>811.0</v>
      </c>
      <c r="G39" s="16">
        <v>38.0</v>
      </c>
      <c r="H39" s="16">
        <v>151.0</v>
      </c>
      <c r="I39" s="17">
        <v>3.91</v>
      </c>
      <c r="J39" s="18">
        <v>44.7</v>
      </c>
      <c r="K39" s="19">
        <v>0.03</v>
      </c>
      <c r="L39" s="18">
        <v>3.1</v>
      </c>
      <c r="M39" s="18">
        <v>1.6</v>
      </c>
      <c r="N39" s="19">
        <v>0.44</v>
      </c>
      <c r="O39" s="20">
        <v>1.4921</v>
      </c>
      <c r="P39" s="21">
        <f t="array" ref="P39">I39/MAX(IF($A$2:$A$146=A39,$I$2:$I$146))</f>
        <v>0.8408602151</v>
      </c>
      <c r="Q39" s="21">
        <f t="array" ref="Q39">J39/MAX(IF($A$2:$A$146=A39,$J$2:$J$146))</f>
        <v>0.8449905482</v>
      </c>
      <c r="R39" s="21">
        <f t="array" ref="R39">K39/MAX(IF($A$2:$A$146=A39,$K$2:$K$146))</f>
        <v>0.6</v>
      </c>
      <c r="S39" s="21">
        <f t="array" ref="S39">L39/MAX(IF($A$2:$A$146=A39,$L$2:$L$146))</f>
        <v>0.107266436</v>
      </c>
      <c r="T39" s="21">
        <f t="array" ref="T39">M39/MAX(IF($A$2:$A$146=A39,$M$2:$M$146))</f>
        <v>0.09696969697</v>
      </c>
      <c r="U39" s="21">
        <f t="array" ref="U39">N39/MAX(IF($A$2:$A$146=A39,$N$2:$N$146))</f>
        <v>0.6666666667</v>
      </c>
      <c r="V39" s="21">
        <f t="array" ref="V39">MIN(IF($A$2:$A$146=A39,$O$2:$O$146))/O39</f>
        <v>0.9892768581</v>
      </c>
    </row>
    <row r="40" ht="15.0" customHeight="1">
      <c r="A40" s="15" t="s">
        <v>32</v>
      </c>
      <c r="B40" s="15" t="s">
        <v>87</v>
      </c>
      <c r="C40" s="15" t="s">
        <v>97</v>
      </c>
      <c r="D40" s="15" t="s">
        <v>103</v>
      </c>
      <c r="E40" s="15" t="s">
        <v>104</v>
      </c>
      <c r="F40" s="16">
        <v>803.0</v>
      </c>
      <c r="G40" s="16">
        <v>21.0</v>
      </c>
      <c r="H40" s="16">
        <v>175.0</v>
      </c>
      <c r="I40" s="17">
        <v>3.9</v>
      </c>
      <c r="J40" s="18">
        <v>42.8</v>
      </c>
      <c r="K40" s="19">
        <v>0.03</v>
      </c>
      <c r="L40" s="18">
        <v>0.9</v>
      </c>
      <c r="M40" s="18">
        <v>1.0</v>
      </c>
      <c r="N40" s="19">
        <v>0.41</v>
      </c>
      <c r="O40" s="12">
        <v>1.4759</v>
      </c>
      <c r="P40" s="21">
        <f t="array" ref="P40">I40/MAX(IF($A$2:$A$146=A40,$I$2:$I$146))</f>
        <v>0.8496732026</v>
      </c>
      <c r="Q40" s="21">
        <f t="array" ref="Q40">J40/MAX(IF($A$2:$A$146=A40,$J$2:$J$146))</f>
        <v>0.4394250513</v>
      </c>
      <c r="R40" s="21">
        <f t="array" ref="R40">K40/MAX(IF($A$2:$A$146=A40,$K$2:$K$146))</f>
        <v>0.75</v>
      </c>
      <c r="S40" s="21">
        <f t="array" ref="S40">L40/MAX(IF($A$2:$A$146=A40,$L$2:$L$146))</f>
        <v>0.05202312139</v>
      </c>
      <c r="T40" s="21">
        <f t="array" ref="T40">M40/MAX(IF($A$2:$A$146=A40,$M$2:$M$146))</f>
        <v>0.05780346821</v>
      </c>
      <c r="U40" s="21">
        <f t="array" ref="U40">N40/MAX(IF($A$2:$A$146=A40,$N$2:$N$146))</f>
        <v>0.7592592593</v>
      </c>
      <c r="V40" s="21">
        <f t="array" ref="V40">MIN(IF($A$2:$A$146=A40,$O$2:$O$146))/O40</f>
        <v>1</v>
      </c>
    </row>
    <row r="41" ht="15.0" customHeight="1">
      <c r="A41" s="15" t="s">
        <v>35</v>
      </c>
      <c r="B41" s="15" t="s">
        <v>87</v>
      </c>
      <c r="C41" s="15" t="s">
        <v>97</v>
      </c>
      <c r="D41" s="15" t="s">
        <v>105</v>
      </c>
      <c r="E41" s="15" t="s">
        <v>106</v>
      </c>
      <c r="F41" s="16">
        <v>821.0</v>
      </c>
      <c r="G41" s="16">
        <v>28.0</v>
      </c>
      <c r="H41" s="16">
        <v>151.0</v>
      </c>
      <c r="I41" s="17">
        <v>3.91</v>
      </c>
      <c r="J41" s="18">
        <v>36.9</v>
      </c>
      <c r="K41" s="19">
        <v>0.02</v>
      </c>
      <c r="L41" s="18">
        <v>5.1</v>
      </c>
      <c r="M41" s="18">
        <v>1.2</v>
      </c>
      <c r="N41" s="19">
        <v>0.29</v>
      </c>
      <c r="O41" s="20">
        <v>1.4906</v>
      </c>
      <c r="P41" s="21">
        <f t="array" ref="P41">I41/MAX(IF($A$2:$A$146=A41,$I$2:$I$146))</f>
        <v>0.9071925754</v>
      </c>
      <c r="Q41" s="21">
        <f t="array" ref="Q41">J41/MAX(IF($A$2:$A$146=A41,$J$2:$J$146))</f>
        <v>0.7409638554</v>
      </c>
      <c r="R41" s="21">
        <f t="array" ref="R41">K41/MAX(IF($A$2:$A$146=A41,$K$2:$K$146))</f>
        <v>0.5</v>
      </c>
      <c r="S41" s="21">
        <f t="array" ref="S41">L41/MAX(IF($A$2:$A$146=A41,$L$2:$L$146))</f>
        <v>0.8793103448</v>
      </c>
      <c r="T41" s="21">
        <f t="array" ref="T41">M41/MAX(IF($A$2:$A$146=A41,$M$2:$M$146))</f>
        <v>0.07692307692</v>
      </c>
      <c r="U41" s="21">
        <f t="array" ref="U41">N41/MAX(IF($A$2:$A$146=A41,$N$2:$N$146))</f>
        <v>0.5918367347</v>
      </c>
      <c r="V41" s="21">
        <f t="array" ref="V41">MIN(IF($A$2:$A$146=A41,$O$2:$O$146))/O41</f>
        <v>0.9969139944</v>
      </c>
    </row>
    <row r="42" ht="15.0" customHeight="1">
      <c r="A42" s="15" t="s">
        <v>22</v>
      </c>
      <c r="B42" s="15" t="s">
        <v>87</v>
      </c>
      <c r="C42" s="15" t="s">
        <v>107</v>
      </c>
      <c r="D42" s="15" t="s">
        <v>107</v>
      </c>
      <c r="E42" s="15" t="s">
        <v>108</v>
      </c>
      <c r="F42" s="16">
        <v>910.0</v>
      </c>
      <c r="G42" s="16">
        <v>27.0</v>
      </c>
      <c r="H42" s="16">
        <v>63.0</v>
      </c>
      <c r="I42" s="17">
        <v>4.44</v>
      </c>
      <c r="J42" s="18">
        <v>42.6</v>
      </c>
      <c r="K42" s="19">
        <v>0.06</v>
      </c>
      <c r="L42" s="18">
        <v>3.3</v>
      </c>
      <c r="M42" s="18">
        <v>6.9</v>
      </c>
      <c r="N42" s="19">
        <v>0.71</v>
      </c>
      <c r="O42" s="20">
        <v>1.57315</v>
      </c>
      <c r="P42" s="21">
        <f t="array" ref="P42">I42/MAX(IF($A$2:$A$146=A42,$I$2:$I$146))</f>
        <v>0.8897795591</v>
      </c>
      <c r="Q42" s="21">
        <f t="array" ref="Q42">J42/MAX(IF($A$2:$A$146=A42,$J$2:$J$146))</f>
        <v>0.5305105853</v>
      </c>
      <c r="R42" s="21">
        <f t="array" ref="R42">K42/MAX(IF($A$2:$A$146=A42,$K$2:$K$146))</f>
        <v>0.6</v>
      </c>
      <c r="S42" s="21">
        <f t="array" ref="S42">L42/MAX(IF($A$2:$A$146=A42,$L$2:$L$146))</f>
        <v>0.4125</v>
      </c>
      <c r="T42" s="21">
        <f t="array" ref="T42">M42/MAX(IF($A$2:$A$146=A42,$M$2:$M$146))</f>
        <v>0.1977077364</v>
      </c>
      <c r="U42" s="21">
        <f t="array" ref="U42">N42/MAX(IF($A$2:$A$146=A42,$N$2:$N$146))</f>
        <v>0.5546875</v>
      </c>
      <c r="V42" s="21">
        <f t="array" ref="V42">MIN(IF($A$2:$A$146=A42,$O$2:$O$146))/O42</f>
        <v>0.9610971617</v>
      </c>
    </row>
    <row r="43" ht="15.0" customHeight="1">
      <c r="A43" s="15" t="s">
        <v>26</v>
      </c>
      <c r="B43" s="15" t="s">
        <v>87</v>
      </c>
      <c r="C43" s="15" t="s">
        <v>107</v>
      </c>
      <c r="D43" s="15" t="s">
        <v>109</v>
      </c>
      <c r="E43" s="15" t="s">
        <v>110</v>
      </c>
      <c r="F43" s="16">
        <v>941.0</v>
      </c>
      <c r="G43" s="16">
        <v>34.0</v>
      </c>
      <c r="H43" s="16">
        <v>25.0</v>
      </c>
      <c r="I43" s="17">
        <v>4.19</v>
      </c>
      <c r="J43" s="18">
        <v>47.8</v>
      </c>
      <c r="K43" s="19">
        <v>0.04</v>
      </c>
      <c r="L43" s="18">
        <v>4.2</v>
      </c>
      <c r="M43" s="18">
        <v>4.2</v>
      </c>
      <c r="N43" s="19">
        <v>0.48</v>
      </c>
      <c r="O43" s="20">
        <v>1.5742</v>
      </c>
      <c r="P43" s="21">
        <f t="array" ref="P43">I43/MAX(IF($A$2:$A$146=A43,$I$2:$I$146))</f>
        <v>0.8603696099</v>
      </c>
      <c r="Q43" s="21">
        <f t="array" ref="Q43">J43/MAX(IF($A$2:$A$146=A43,$J$2:$J$146))</f>
        <v>0.759936407</v>
      </c>
      <c r="R43" s="21">
        <f t="array" ref="R43">K43/MAX(IF($A$2:$A$146=A43,$K$2:$K$146))</f>
        <v>0.5</v>
      </c>
      <c r="S43" s="21">
        <f t="array" ref="S43">L43/MAX(IF($A$2:$A$146=A43,$L$2:$L$146))</f>
        <v>0.7</v>
      </c>
      <c r="T43" s="21">
        <f t="array" ref="T43">M43/MAX(IF($A$2:$A$146=A43,$M$2:$M$146))</f>
        <v>0.1721311475</v>
      </c>
      <c r="U43" s="21">
        <f t="array" ref="U43">N43/MAX(IF($A$2:$A$146=A43,$N$2:$N$146))</f>
        <v>0.4210526316</v>
      </c>
      <c r="V43" s="21">
        <f t="array" ref="V43">MIN(IF($A$2:$A$146=A43,$O$2:$O$146))/O43</f>
        <v>0.9490852497</v>
      </c>
    </row>
    <row r="44" ht="15.0" customHeight="1">
      <c r="A44" s="15" t="s">
        <v>29</v>
      </c>
      <c r="B44" s="15" t="s">
        <v>87</v>
      </c>
      <c r="C44" s="15" t="s">
        <v>107</v>
      </c>
      <c r="D44" s="15" t="s">
        <v>111</v>
      </c>
      <c r="E44" s="15" t="s">
        <v>112</v>
      </c>
      <c r="F44" s="16">
        <v>816.0</v>
      </c>
      <c r="G44" s="16">
        <v>34.0</v>
      </c>
      <c r="H44" s="16">
        <v>151.0</v>
      </c>
      <c r="I44" s="17">
        <v>4.03</v>
      </c>
      <c r="J44" s="18">
        <v>35.2</v>
      </c>
      <c r="K44" s="19">
        <v>0.03</v>
      </c>
      <c r="L44" s="18">
        <v>3.1</v>
      </c>
      <c r="M44" s="18">
        <v>2.4</v>
      </c>
      <c r="N44" s="19">
        <v>0.43</v>
      </c>
      <c r="O44" s="20">
        <v>1.4982</v>
      </c>
      <c r="P44" s="21">
        <f t="array" ref="P44">I44/MAX(IF($A$2:$A$146=A44,$I$2:$I$146))</f>
        <v>0.8666666667</v>
      </c>
      <c r="Q44" s="21">
        <f t="array" ref="Q44">J44/MAX(IF($A$2:$A$146=A44,$J$2:$J$146))</f>
        <v>0.6654064272</v>
      </c>
      <c r="R44" s="21">
        <f t="array" ref="R44">K44/MAX(IF($A$2:$A$146=A44,$K$2:$K$146))</f>
        <v>0.6</v>
      </c>
      <c r="S44" s="21">
        <f t="array" ref="S44">L44/MAX(IF($A$2:$A$146=A44,$L$2:$L$146))</f>
        <v>0.107266436</v>
      </c>
      <c r="T44" s="21">
        <f t="array" ref="T44">M44/MAX(IF($A$2:$A$146=A44,$M$2:$M$146))</f>
        <v>0.1454545455</v>
      </c>
      <c r="U44" s="21">
        <f t="array" ref="U44">N44/MAX(IF($A$2:$A$146=A44,$N$2:$N$146))</f>
        <v>0.6515151515</v>
      </c>
      <c r="V44" s="21">
        <f t="array" ref="V44">MIN(IF($A$2:$A$146=A44,$O$2:$O$146))/O44</f>
        <v>0.9852489654</v>
      </c>
    </row>
    <row r="45" ht="15.0" customHeight="1">
      <c r="A45" s="15" t="s">
        <v>32</v>
      </c>
      <c r="B45" s="15" t="s">
        <v>87</v>
      </c>
      <c r="C45" s="15" t="s">
        <v>107</v>
      </c>
      <c r="D45" s="15" t="s">
        <v>113</v>
      </c>
      <c r="E45" s="15" t="s">
        <v>114</v>
      </c>
      <c r="F45" s="16">
        <v>841.0</v>
      </c>
      <c r="G45" s="16">
        <v>33.0</v>
      </c>
      <c r="H45" s="16">
        <v>126.0</v>
      </c>
      <c r="I45" s="17">
        <v>4.05</v>
      </c>
      <c r="J45" s="18">
        <v>34.2</v>
      </c>
      <c r="K45" s="19">
        <v>0.02</v>
      </c>
      <c r="L45" s="18">
        <v>6.6</v>
      </c>
      <c r="M45" s="18">
        <v>2.4</v>
      </c>
      <c r="N45" s="19">
        <v>0.34</v>
      </c>
      <c r="O45" s="20">
        <v>1.5116</v>
      </c>
      <c r="P45" s="21">
        <f t="array" ref="P45">I45/MAX(IF($A$2:$A$146=A45,$I$2:$I$146))</f>
        <v>0.8823529412</v>
      </c>
      <c r="Q45" s="21">
        <f t="array" ref="Q45">J45/MAX(IF($A$2:$A$146=A45,$J$2:$J$146))</f>
        <v>0.3511293634</v>
      </c>
      <c r="R45" s="21">
        <f t="array" ref="R45">K45/MAX(IF($A$2:$A$146=A45,$K$2:$K$146))</f>
        <v>0.5</v>
      </c>
      <c r="S45" s="21">
        <f t="array" ref="S45">L45/MAX(IF($A$2:$A$146=A45,$L$2:$L$146))</f>
        <v>0.3815028902</v>
      </c>
      <c r="T45" s="21">
        <f t="array" ref="T45">M45/MAX(IF($A$2:$A$146=A45,$M$2:$M$146))</f>
        <v>0.1387283237</v>
      </c>
      <c r="U45" s="21">
        <f t="array" ref="U45">N45/MAX(IF($A$2:$A$146=A45,$N$2:$N$146))</f>
        <v>0.6296296296</v>
      </c>
      <c r="V45" s="21">
        <f t="array" ref="V45">MIN(IF($A$2:$A$146=A45,$O$2:$O$146))/O45</f>
        <v>0.9763826409</v>
      </c>
    </row>
    <row r="46" ht="15.0" customHeight="1">
      <c r="A46" s="15" t="s">
        <v>35</v>
      </c>
      <c r="B46" s="15" t="s">
        <v>87</v>
      </c>
      <c r="C46" s="15" t="s">
        <v>107</v>
      </c>
      <c r="D46" s="15" t="s">
        <v>115</v>
      </c>
      <c r="E46" s="15" t="s">
        <v>116</v>
      </c>
      <c r="F46" s="16">
        <v>841.0</v>
      </c>
      <c r="G46" s="16">
        <v>34.0</v>
      </c>
      <c r="H46" s="16">
        <v>125.0</v>
      </c>
      <c r="I46" s="17">
        <v>3.96</v>
      </c>
      <c r="J46" s="18">
        <v>32.6</v>
      </c>
      <c r="K46" s="19">
        <v>0.02</v>
      </c>
      <c r="L46" s="18">
        <v>0.9</v>
      </c>
      <c r="M46" s="18">
        <v>1.8</v>
      </c>
      <c r="N46" s="19">
        <v>0.25</v>
      </c>
      <c r="O46" s="20">
        <v>1.5085</v>
      </c>
      <c r="P46" s="21">
        <f t="array" ref="P46">I46/MAX(IF($A$2:$A$146=A46,$I$2:$I$146))</f>
        <v>0.9187935035</v>
      </c>
      <c r="Q46" s="21">
        <f t="array" ref="Q46">J46/MAX(IF($A$2:$A$146=A46,$J$2:$J$146))</f>
        <v>0.6546184739</v>
      </c>
      <c r="R46" s="21">
        <f t="array" ref="R46">K46/MAX(IF($A$2:$A$146=A46,$K$2:$K$146))</f>
        <v>0.5</v>
      </c>
      <c r="S46" s="21">
        <f t="array" ref="S46">L46/MAX(IF($A$2:$A$146=A46,$L$2:$L$146))</f>
        <v>0.1551724138</v>
      </c>
      <c r="T46" s="21">
        <f t="array" ref="T46">M46/MAX(IF($A$2:$A$146=A46,$M$2:$M$146))</f>
        <v>0.1153846154</v>
      </c>
      <c r="U46" s="21">
        <f t="array" ref="U46">N46/MAX(IF($A$2:$A$146=A46,$N$2:$N$146))</f>
        <v>0.5102040816</v>
      </c>
      <c r="V46" s="21">
        <f t="array" ref="V46">MIN(IF($A$2:$A$146=A46,$O$2:$O$146))/O46</f>
        <v>0.985084521</v>
      </c>
    </row>
    <row r="47" ht="15.0" customHeight="1">
      <c r="A47" s="15" t="s">
        <v>22</v>
      </c>
      <c r="B47" s="15" t="s">
        <v>87</v>
      </c>
      <c r="C47" s="15" t="s">
        <v>117</v>
      </c>
      <c r="D47" s="15" t="s">
        <v>117</v>
      </c>
      <c r="E47" s="15" t="s">
        <v>118</v>
      </c>
      <c r="F47" s="16">
        <v>913.0</v>
      </c>
      <c r="G47" s="16">
        <v>24.0</v>
      </c>
      <c r="H47" s="16">
        <v>63.0</v>
      </c>
      <c r="I47" s="17">
        <v>4.01</v>
      </c>
      <c r="J47" s="18">
        <v>46.2</v>
      </c>
      <c r="K47" s="19">
        <v>0.05</v>
      </c>
      <c r="L47" s="18">
        <v>3.1</v>
      </c>
      <c r="M47" s="18">
        <v>3.5</v>
      </c>
      <c r="N47" s="19">
        <v>0.59</v>
      </c>
      <c r="O47" s="20">
        <v>1.54885</v>
      </c>
      <c r="P47" s="21">
        <f t="array" ref="P47">I47/MAX(IF($A$2:$A$146=A47,$I$2:$I$146))</f>
        <v>0.8036072144</v>
      </c>
      <c r="Q47" s="21">
        <f t="array" ref="Q47">J47/MAX(IF($A$2:$A$146=A47,$J$2:$J$146))</f>
        <v>0.5753424658</v>
      </c>
      <c r="R47" s="21">
        <f t="array" ref="R47">K47/MAX(IF($A$2:$A$146=A47,$K$2:$K$146))</f>
        <v>0.5</v>
      </c>
      <c r="S47" s="21">
        <f t="array" ref="S47">L47/MAX(IF($A$2:$A$146=A47,$L$2:$L$146))</f>
        <v>0.3875</v>
      </c>
      <c r="T47" s="21">
        <f t="array" ref="T47">M47/MAX(IF($A$2:$A$146=A47,$M$2:$M$146))</f>
        <v>0.100286533</v>
      </c>
      <c r="U47" s="21">
        <f t="array" ref="U47">N47/MAX(IF($A$2:$A$146=A47,$N$2:$N$146))</f>
        <v>0.4609375</v>
      </c>
      <c r="V47" s="21">
        <f t="array" ref="V47">MIN(IF($A$2:$A$146=A47,$O$2:$O$146))/O47</f>
        <v>0.9761758724</v>
      </c>
    </row>
    <row r="48" ht="15.0" customHeight="1">
      <c r="A48" s="15" t="s">
        <v>26</v>
      </c>
      <c r="B48" s="15" t="s">
        <v>87</v>
      </c>
      <c r="C48" s="15" t="s">
        <v>117</v>
      </c>
      <c r="D48" s="15" t="s">
        <v>119</v>
      </c>
      <c r="E48" s="15" t="s">
        <v>120</v>
      </c>
      <c r="F48" s="16">
        <v>923.0</v>
      </c>
      <c r="G48" s="16">
        <v>27.0</v>
      </c>
      <c r="H48" s="16">
        <v>50.0</v>
      </c>
      <c r="I48" s="17">
        <v>3.92</v>
      </c>
      <c r="J48" s="18">
        <v>37.9</v>
      </c>
      <c r="K48" s="19">
        <v>0.03</v>
      </c>
      <c r="L48" s="18">
        <v>2.0</v>
      </c>
      <c r="M48" s="18">
        <v>1.9</v>
      </c>
      <c r="N48" s="19">
        <v>0.42</v>
      </c>
      <c r="O48" s="20">
        <v>1.54505</v>
      </c>
      <c r="P48" s="21">
        <f t="array" ref="P48">I48/MAX(IF($A$2:$A$146=A48,$I$2:$I$146))</f>
        <v>0.8049281314</v>
      </c>
      <c r="Q48" s="21">
        <f t="array" ref="Q48">J48/MAX(IF($A$2:$A$146=A48,$J$2:$J$146))</f>
        <v>0.6025437202</v>
      </c>
      <c r="R48" s="21">
        <f t="array" ref="R48">K48/MAX(IF($A$2:$A$146=A48,$K$2:$K$146))</f>
        <v>0.375</v>
      </c>
      <c r="S48" s="21">
        <f t="array" ref="S48">L48/MAX(IF($A$2:$A$146=A48,$L$2:$L$146))</f>
        <v>0.3333333333</v>
      </c>
      <c r="T48" s="21">
        <f t="array" ref="T48">M48/MAX(IF($A$2:$A$146=A48,$M$2:$M$146))</f>
        <v>0.07786885246</v>
      </c>
      <c r="U48" s="21">
        <f t="array" ref="U48">N48/MAX(IF($A$2:$A$146=A48,$N$2:$N$146))</f>
        <v>0.3684210526</v>
      </c>
      <c r="V48" s="21">
        <f t="array" ref="V48">MIN(IF($A$2:$A$146=A48,$O$2:$O$146))/O48</f>
        <v>0.9669913595</v>
      </c>
    </row>
    <row r="49" ht="15.0" customHeight="1">
      <c r="A49" s="15" t="s">
        <v>29</v>
      </c>
      <c r="B49" s="15" t="s">
        <v>87</v>
      </c>
      <c r="C49" s="15" t="s">
        <v>117</v>
      </c>
      <c r="D49" s="15" t="s">
        <v>121</v>
      </c>
      <c r="E49" s="15" t="s">
        <v>122</v>
      </c>
      <c r="F49" s="16">
        <v>832.0</v>
      </c>
      <c r="G49" s="16">
        <v>17.0</v>
      </c>
      <c r="H49" s="16">
        <v>150.0</v>
      </c>
      <c r="I49" s="17">
        <v>3.95</v>
      </c>
      <c r="J49" s="18">
        <v>35.9</v>
      </c>
      <c r="K49" s="19">
        <v>0.03</v>
      </c>
      <c r="L49" s="18">
        <v>4.2</v>
      </c>
      <c r="M49" s="18">
        <v>1.3</v>
      </c>
      <c r="N49" s="19">
        <v>0.39</v>
      </c>
      <c r="O49" s="20">
        <v>1.49085</v>
      </c>
      <c r="P49" s="21">
        <f t="array" ref="P49">I49/MAX(IF($A$2:$A$146=A49,$I$2:$I$146))</f>
        <v>0.8494623656</v>
      </c>
      <c r="Q49" s="21">
        <f t="array" ref="Q49">J49/MAX(IF($A$2:$A$146=A49,$J$2:$J$146))</f>
        <v>0.6786389414</v>
      </c>
      <c r="R49" s="21">
        <f t="array" ref="R49">K49/MAX(IF($A$2:$A$146=A49,$K$2:$K$146))</f>
        <v>0.6</v>
      </c>
      <c r="S49" s="21">
        <f t="array" ref="S49">L49/MAX(IF($A$2:$A$146=A49,$L$2:$L$146))</f>
        <v>0.1453287197</v>
      </c>
      <c r="T49" s="21">
        <f t="array" ref="T49">M49/MAX(IF($A$2:$A$146=A49,$M$2:$M$146))</f>
        <v>0.07878787879</v>
      </c>
      <c r="U49" s="21">
        <f t="array" ref="U49">N49/MAX(IF($A$2:$A$146=A49,$N$2:$N$146))</f>
        <v>0.5909090909</v>
      </c>
      <c r="V49" s="21">
        <f t="array" ref="V49">MIN(IF($A$2:$A$146=A49,$O$2:$O$146))/O49</f>
        <v>0.9901063152</v>
      </c>
    </row>
    <row r="50" ht="15.0" customHeight="1">
      <c r="A50" s="15" t="s">
        <v>32</v>
      </c>
      <c r="B50" s="15" t="s">
        <v>87</v>
      </c>
      <c r="C50" s="15" t="s">
        <v>117</v>
      </c>
      <c r="D50" s="15" t="s">
        <v>123</v>
      </c>
      <c r="E50" s="15" t="s">
        <v>124</v>
      </c>
      <c r="F50" s="16">
        <v>854.0</v>
      </c>
      <c r="G50" s="16">
        <v>21.0</v>
      </c>
      <c r="H50" s="16">
        <v>126.0</v>
      </c>
      <c r="I50" s="17">
        <v>3.94</v>
      </c>
      <c r="J50" s="18">
        <v>33.7</v>
      </c>
      <c r="K50" s="19">
        <v>0.02</v>
      </c>
      <c r="L50" s="18">
        <v>6.6</v>
      </c>
      <c r="M50" s="18">
        <v>2.6</v>
      </c>
      <c r="N50" s="19">
        <v>0.27</v>
      </c>
      <c r="O50" s="20">
        <v>1.5138</v>
      </c>
      <c r="P50" s="21">
        <f t="array" ref="P50">I50/MAX(IF($A$2:$A$146=A50,$I$2:$I$146))</f>
        <v>0.8583877996</v>
      </c>
      <c r="Q50" s="21">
        <f t="array" ref="Q50">J50/MAX(IF($A$2:$A$146=A50,$J$2:$J$146))</f>
        <v>0.3459958932</v>
      </c>
      <c r="R50" s="21">
        <f t="array" ref="R50">K50/MAX(IF($A$2:$A$146=A50,$K$2:$K$146))</f>
        <v>0.5</v>
      </c>
      <c r="S50" s="21">
        <f t="array" ref="S50">L50/MAX(IF($A$2:$A$146=A50,$L$2:$L$146))</f>
        <v>0.3815028902</v>
      </c>
      <c r="T50" s="21">
        <f t="array" ref="T50">M50/MAX(IF($A$2:$A$146=A50,$M$2:$M$146))</f>
        <v>0.1502890173</v>
      </c>
      <c r="U50" s="21">
        <f t="array" ref="U50">N50/MAX(IF($A$2:$A$146=A50,$N$2:$N$146))</f>
        <v>0.5</v>
      </c>
      <c r="V50" s="21">
        <f t="array" ref="V50">MIN(IF($A$2:$A$146=A50,$O$2:$O$146))/O50</f>
        <v>0.9749636676</v>
      </c>
    </row>
    <row r="51" ht="15.0" customHeight="1">
      <c r="A51" s="15" t="s">
        <v>35</v>
      </c>
      <c r="B51" s="15" t="s">
        <v>87</v>
      </c>
      <c r="C51" s="15" t="s">
        <v>117</v>
      </c>
      <c r="D51" s="15" t="s">
        <v>125</v>
      </c>
      <c r="E51" s="15" t="s">
        <v>126</v>
      </c>
      <c r="F51" s="16">
        <v>847.0</v>
      </c>
      <c r="G51" s="16">
        <v>27.0</v>
      </c>
      <c r="H51" s="16">
        <v>125.0</v>
      </c>
      <c r="I51" s="17">
        <v>3.91</v>
      </c>
      <c r="J51" s="18">
        <v>32.0</v>
      </c>
      <c r="K51" s="19">
        <v>0.02</v>
      </c>
      <c r="L51" s="18">
        <v>0.9</v>
      </c>
      <c r="M51" s="18">
        <v>0.9</v>
      </c>
      <c r="N51" s="19">
        <v>0.24</v>
      </c>
      <c r="O51" s="20">
        <v>1.50185</v>
      </c>
      <c r="P51" s="21">
        <f t="array" ref="P51">I51/MAX(IF($A$2:$A$146=A51,$I$2:$I$146))</f>
        <v>0.9071925754</v>
      </c>
      <c r="Q51" s="21">
        <f t="array" ref="Q51">J51/MAX(IF($A$2:$A$146=A51,$J$2:$J$146))</f>
        <v>0.6425702811</v>
      </c>
      <c r="R51" s="21">
        <f t="array" ref="R51">K51/MAX(IF($A$2:$A$146=A51,$K$2:$K$146))</f>
        <v>0.5</v>
      </c>
      <c r="S51" s="21">
        <f t="array" ref="S51">L51/MAX(IF($A$2:$A$146=A51,$L$2:$L$146))</f>
        <v>0.1551724138</v>
      </c>
      <c r="T51" s="21">
        <f t="array" ref="T51">M51/MAX(IF($A$2:$A$146=A51,$M$2:$M$146))</f>
        <v>0.05769230769</v>
      </c>
      <c r="U51" s="21">
        <f t="array" ref="U51">N51/MAX(IF($A$2:$A$146=A51,$N$2:$N$146))</f>
        <v>0.4897959184</v>
      </c>
      <c r="V51" s="21">
        <f t="array" ref="V51">MIN(IF($A$2:$A$146=A51,$O$2:$O$146))/O51</f>
        <v>0.9894463495</v>
      </c>
    </row>
    <row r="52" ht="15.0" customHeight="1">
      <c r="A52" s="15" t="s">
        <v>22</v>
      </c>
      <c r="B52" s="15" t="s">
        <v>87</v>
      </c>
      <c r="C52" s="15" t="s">
        <v>78</v>
      </c>
      <c r="D52" s="15" t="s">
        <v>78</v>
      </c>
      <c r="E52" s="15" t="s">
        <v>127</v>
      </c>
      <c r="F52" s="16">
        <v>872.0</v>
      </c>
      <c r="G52" s="16">
        <v>15.0</v>
      </c>
      <c r="H52" s="16">
        <v>113.0</v>
      </c>
      <c r="I52" s="17">
        <v>4.11</v>
      </c>
      <c r="J52" s="18">
        <v>44.7</v>
      </c>
      <c r="K52" s="19">
        <v>0.05</v>
      </c>
      <c r="L52" s="18">
        <v>4.4</v>
      </c>
      <c r="M52" s="18">
        <v>6.7</v>
      </c>
      <c r="N52" s="19">
        <v>0.62</v>
      </c>
      <c r="O52" s="20">
        <v>1.54755</v>
      </c>
      <c r="P52" s="21">
        <f t="array" ref="P52">I52/MAX(IF($A$2:$A$146=A52,$I$2:$I$146))</f>
        <v>0.8236472946</v>
      </c>
      <c r="Q52" s="21">
        <f t="array" ref="Q52">J52/MAX(IF($A$2:$A$146=A52,$J$2:$J$146))</f>
        <v>0.5566625156</v>
      </c>
      <c r="R52" s="21">
        <f t="array" ref="R52">K52/MAX(IF($A$2:$A$146=A52,$K$2:$K$146))</f>
        <v>0.5</v>
      </c>
      <c r="S52" s="21">
        <f t="array" ref="S52">L52/MAX(IF($A$2:$A$146=A52,$L$2:$L$146))</f>
        <v>0.55</v>
      </c>
      <c r="T52" s="21">
        <f t="array" ref="T52">M52/MAX(IF($A$2:$A$146=A52,$M$2:$M$146))</f>
        <v>0.1919770774</v>
      </c>
      <c r="U52" s="21">
        <f t="array" ref="U52">N52/MAX(IF($A$2:$A$146=A52,$N$2:$N$146))</f>
        <v>0.484375</v>
      </c>
      <c r="V52" s="21">
        <f t="array" ref="V52">MIN(IF($A$2:$A$146=A52,$O$2:$O$146))/O52</f>
        <v>0.9769958967</v>
      </c>
    </row>
    <row r="53" ht="15.0" customHeight="1">
      <c r="A53" s="15" t="s">
        <v>26</v>
      </c>
      <c r="B53" s="15" t="s">
        <v>87</v>
      </c>
      <c r="C53" s="15" t="s">
        <v>78</v>
      </c>
      <c r="D53" s="15" t="s">
        <v>128</v>
      </c>
      <c r="E53" s="15" t="s">
        <v>129</v>
      </c>
      <c r="F53" s="16">
        <v>908.0</v>
      </c>
      <c r="G53" s="16">
        <v>17.0</v>
      </c>
      <c r="H53" s="16">
        <v>75.0</v>
      </c>
      <c r="I53" s="17">
        <v>4.0</v>
      </c>
      <c r="J53" s="18">
        <v>43.3</v>
      </c>
      <c r="K53" s="19">
        <v>0.03</v>
      </c>
      <c r="L53" s="18">
        <v>3.1</v>
      </c>
      <c r="M53" s="18">
        <v>4.1</v>
      </c>
      <c r="N53" s="19">
        <v>0.44</v>
      </c>
      <c r="O53" s="20">
        <v>1.54885</v>
      </c>
      <c r="P53" s="21">
        <f t="array" ref="P53">I53/MAX(IF($A$2:$A$146=A53,$I$2:$I$146))</f>
        <v>0.8213552361</v>
      </c>
      <c r="Q53" s="21">
        <f t="array" ref="Q53">J53/MAX(IF($A$2:$A$146=A53,$J$2:$J$146))</f>
        <v>0.6883942766</v>
      </c>
      <c r="R53" s="21">
        <f t="array" ref="R53">K53/MAX(IF($A$2:$A$146=A53,$K$2:$K$146))</f>
        <v>0.375</v>
      </c>
      <c r="S53" s="21">
        <f t="array" ref="S53">L53/MAX(IF($A$2:$A$146=A53,$L$2:$L$146))</f>
        <v>0.5166666667</v>
      </c>
      <c r="T53" s="21">
        <f t="array" ref="T53">M53/MAX(IF($A$2:$A$146=A53,$M$2:$M$146))</f>
        <v>0.1680327869</v>
      </c>
      <c r="U53" s="21">
        <f t="array" ref="U53">N53/MAX(IF($A$2:$A$146=A53,$N$2:$N$146))</f>
        <v>0.3859649123</v>
      </c>
      <c r="V53" s="21">
        <f t="array" ref="V53">MIN(IF($A$2:$A$146=A53,$O$2:$O$146))/O53</f>
        <v>0.9646189108</v>
      </c>
    </row>
    <row r="54" ht="15.0" customHeight="1">
      <c r="A54" s="15" t="s">
        <v>29</v>
      </c>
      <c r="B54" s="15" t="s">
        <v>87</v>
      </c>
      <c r="C54" s="15" t="s">
        <v>78</v>
      </c>
      <c r="D54" s="15" t="s">
        <v>130</v>
      </c>
      <c r="E54" s="15" t="s">
        <v>131</v>
      </c>
      <c r="F54" s="16">
        <v>806.0</v>
      </c>
      <c r="G54" s="16">
        <v>17.0</v>
      </c>
      <c r="H54" s="16">
        <v>176.0</v>
      </c>
      <c r="I54" s="17">
        <v>3.87</v>
      </c>
      <c r="J54" s="18">
        <v>41.7</v>
      </c>
      <c r="K54" s="19">
        <v>0.03</v>
      </c>
      <c r="L54" s="18">
        <v>3.1</v>
      </c>
      <c r="M54" s="18">
        <v>2.5</v>
      </c>
      <c r="N54" s="19">
        <v>0.42</v>
      </c>
      <c r="O54" s="20">
        <v>1.48655</v>
      </c>
      <c r="P54" s="21">
        <f t="array" ref="P54">I54/MAX(IF($A$2:$A$146=A54,$I$2:$I$146))</f>
        <v>0.8322580645</v>
      </c>
      <c r="Q54" s="21">
        <f t="array" ref="Q54">J54/MAX(IF($A$2:$A$146=A54,$J$2:$J$146))</f>
        <v>0.7882797732</v>
      </c>
      <c r="R54" s="21">
        <f t="array" ref="R54">K54/MAX(IF($A$2:$A$146=A54,$K$2:$K$146))</f>
        <v>0.6</v>
      </c>
      <c r="S54" s="21">
        <f t="array" ref="S54">L54/MAX(IF($A$2:$A$146=A54,$L$2:$L$146))</f>
        <v>0.107266436</v>
      </c>
      <c r="T54" s="21">
        <f t="array" ref="T54">M54/MAX(IF($A$2:$A$146=A54,$M$2:$M$146))</f>
        <v>0.1515151515</v>
      </c>
      <c r="U54" s="21">
        <f t="array" ref="U54">N54/MAX(IF($A$2:$A$146=A54,$N$2:$N$146))</f>
        <v>0.6363636364</v>
      </c>
      <c r="V54" s="21">
        <f t="array" ref="V54">MIN(IF($A$2:$A$146=A54,$O$2:$O$146))/O54</f>
        <v>0.9929703004</v>
      </c>
    </row>
    <row r="55" ht="15.0" customHeight="1">
      <c r="A55" s="15" t="s">
        <v>32</v>
      </c>
      <c r="B55" s="15" t="s">
        <v>87</v>
      </c>
      <c r="C55" s="15" t="s">
        <v>78</v>
      </c>
      <c r="D55" s="15" t="s">
        <v>132</v>
      </c>
      <c r="E55" s="15" t="s">
        <v>133</v>
      </c>
      <c r="F55" s="16">
        <v>844.0</v>
      </c>
      <c r="G55" s="16">
        <v>30.0</v>
      </c>
      <c r="H55" s="16">
        <v>126.0</v>
      </c>
      <c r="I55" s="17">
        <v>3.93</v>
      </c>
      <c r="J55" s="18">
        <v>33.2</v>
      </c>
      <c r="K55" s="19">
        <v>0.02</v>
      </c>
      <c r="L55" s="18">
        <v>6.0</v>
      </c>
      <c r="M55" s="18">
        <v>2.1</v>
      </c>
      <c r="N55" s="19">
        <v>0.29</v>
      </c>
      <c r="O55" s="20">
        <v>1.50985</v>
      </c>
      <c r="P55" s="21">
        <f t="array" ref="P55">I55/MAX(IF($A$2:$A$146=A55,$I$2:$I$146))</f>
        <v>0.8562091503</v>
      </c>
      <c r="Q55" s="21">
        <f t="array" ref="Q55">J55/MAX(IF($A$2:$A$146=A55,$J$2:$J$146))</f>
        <v>0.340862423</v>
      </c>
      <c r="R55" s="21">
        <f t="array" ref="R55">K55/MAX(IF($A$2:$A$146=A55,$K$2:$K$146))</f>
        <v>0.5</v>
      </c>
      <c r="S55" s="21">
        <f t="array" ref="S55">L55/MAX(IF($A$2:$A$146=A55,$L$2:$L$146))</f>
        <v>0.3468208092</v>
      </c>
      <c r="T55" s="21">
        <f t="array" ref="T55">M55/MAX(IF($A$2:$A$146=A55,$M$2:$M$146))</f>
        <v>0.1213872832</v>
      </c>
      <c r="U55" s="21">
        <f t="array" ref="U55">N55/MAX(IF($A$2:$A$146=A55,$N$2:$N$146))</f>
        <v>0.537037037</v>
      </c>
      <c r="V55" s="21">
        <f t="array" ref="V55">MIN(IF($A$2:$A$146=A55,$O$2:$O$146))/O55</f>
        <v>0.9775143226</v>
      </c>
    </row>
    <row r="56" ht="15.0" customHeight="1">
      <c r="A56" s="15" t="s">
        <v>35</v>
      </c>
      <c r="B56" s="15" t="s">
        <v>87</v>
      </c>
      <c r="C56" s="15" t="s">
        <v>78</v>
      </c>
      <c r="D56" s="15" t="s">
        <v>134</v>
      </c>
      <c r="E56" s="15" t="s">
        <v>135</v>
      </c>
      <c r="F56" s="16">
        <v>839.0</v>
      </c>
      <c r="G56" s="16">
        <v>36.0</v>
      </c>
      <c r="H56" s="16">
        <v>126.0</v>
      </c>
      <c r="I56" s="17">
        <v>3.88</v>
      </c>
      <c r="J56" s="18">
        <v>31.7</v>
      </c>
      <c r="K56" s="19">
        <v>0.02</v>
      </c>
      <c r="L56" s="18">
        <v>0.9</v>
      </c>
      <c r="M56" s="18">
        <v>1.6</v>
      </c>
      <c r="N56" s="19">
        <v>0.25</v>
      </c>
      <c r="O56" s="20">
        <v>1.5065</v>
      </c>
      <c r="P56" s="21">
        <f t="array" ref="P56">I56/MAX(IF($A$2:$A$146=A56,$I$2:$I$146))</f>
        <v>0.9002320186</v>
      </c>
      <c r="Q56" s="21">
        <f t="array" ref="Q56">J56/MAX(IF($A$2:$A$146=A56,$J$2:$J$146))</f>
        <v>0.6365461847</v>
      </c>
      <c r="R56" s="21">
        <f t="array" ref="R56">K56/MAX(IF($A$2:$A$146=A56,$K$2:$K$146))</f>
        <v>0.5</v>
      </c>
      <c r="S56" s="21">
        <f t="array" ref="S56">L56/MAX(IF($A$2:$A$146=A56,$L$2:$L$146))</f>
        <v>0.1551724138</v>
      </c>
      <c r="T56" s="21">
        <f t="array" ref="T56">M56/MAX(IF($A$2:$A$146=A56,$M$2:$M$146))</f>
        <v>0.1025641026</v>
      </c>
      <c r="U56" s="21">
        <f t="array" ref="U56">N56/MAX(IF($A$2:$A$146=A56,$N$2:$N$146))</f>
        <v>0.5102040816</v>
      </c>
      <c r="V56" s="21">
        <f t="array" ref="V56">MIN(IF($A$2:$A$146=A56,$O$2:$O$146))/O56</f>
        <v>0.9863923</v>
      </c>
    </row>
    <row r="57" ht="15.0" customHeight="1">
      <c r="A57" s="15" t="s">
        <v>22</v>
      </c>
      <c r="B57" s="15" t="s">
        <v>87</v>
      </c>
      <c r="C57" s="15" t="s">
        <v>136</v>
      </c>
      <c r="D57" s="15" t="s">
        <v>136</v>
      </c>
      <c r="E57" s="15" t="s">
        <v>137</v>
      </c>
      <c r="F57" s="16">
        <v>910.0</v>
      </c>
      <c r="G57" s="16">
        <v>27.0</v>
      </c>
      <c r="H57" s="16">
        <v>63.0</v>
      </c>
      <c r="I57" s="17">
        <v>4.16</v>
      </c>
      <c r="J57" s="18">
        <v>40.9</v>
      </c>
      <c r="K57" s="19">
        <v>0.06</v>
      </c>
      <c r="L57" s="18">
        <v>4.2</v>
      </c>
      <c r="M57" s="18">
        <v>3.7</v>
      </c>
      <c r="N57" s="19">
        <v>0.77</v>
      </c>
      <c r="O57" s="20">
        <v>1.54855</v>
      </c>
      <c r="P57" s="21">
        <f t="array" ref="P57">I57/MAX(IF($A$2:$A$146=A57,$I$2:$I$146))</f>
        <v>0.8336673347</v>
      </c>
      <c r="Q57" s="21">
        <f t="array" ref="Q57">J57/MAX(IF($A$2:$A$146=A57,$J$2:$J$146))</f>
        <v>0.5093399751</v>
      </c>
      <c r="R57" s="21">
        <f t="array" ref="R57">K57/MAX(IF($A$2:$A$146=A57,$K$2:$K$146))</f>
        <v>0.6</v>
      </c>
      <c r="S57" s="21">
        <f t="array" ref="S57">L57/MAX(IF($A$2:$A$146=A57,$L$2:$L$146))</f>
        <v>0.525</v>
      </c>
      <c r="T57" s="21">
        <f t="array" ref="T57">M57/MAX(IF($A$2:$A$146=A57,$M$2:$M$146))</f>
        <v>0.106017192</v>
      </c>
      <c r="U57" s="21">
        <f t="array" ref="U57">N57/MAX(IF($A$2:$A$146=A57,$N$2:$N$146))</f>
        <v>0.6015625</v>
      </c>
      <c r="V57" s="21">
        <f t="array" ref="V57">MIN(IF($A$2:$A$146=A57,$O$2:$O$146))/O57</f>
        <v>0.9763649866</v>
      </c>
    </row>
    <row r="58" ht="15.0" customHeight="1">
      <c r="A58" s="15" t="s">
        <v>26</v>
      </c>
      <c r="B58" s="15" t="s">
        <v>87</v>
      </c>
      <c r="C58" s="15" t="s">
        <v>136</v>
      </c>
      <c r="D58" s="15" t="s">
        <v>138</v>
      </c>
      <c r="E58" s="15" t="s">
        <v>139</v>
      </c>
      <c r="F58" s="16">
        <v>876.0</v>
      </c>
      <c r="G58" s="16">
        <v>23.0</v>
      </c>
      <c r="H58" s="16">
        <v>100.0</v>
      </c>
      <c r="I58" s="17">
        <v>4.06</v>
      </c>
      <c r="J58" s="18">
        <v>35.7</v>
      </c>
      <c r="K58" s="19">
        <v>0.04</v>
      </c>
      <c r="L58" s="18">
        <v>2.4</v>
      </c>
      <c r="M58" s="18">
        <v>2.9</v>
      </c>
      <c r="N58" s="19">
        <v>0.52</v>
      </c>
      <c r="O58" s="20">
        <v>1.52655</v>
      </c>
      <c r="P58" s="21">
        <f t="array" ref="P58">I58/MAX(IF($A$2:$A$146=A58,$I$2:$I$146))</f>
        <v>0.8336755647</v>
      </c>
      <c r="Q58" s="21">
        <f t="array" ref="Q58">J58/MAX(IF($A$2:$A$146=A58,$J$2:$J$146))</f>
        <v>0.5675675676</v>
      </c>
      <c r="R58" s="21">
        <f t="array" ref="R58">K58/MAX(IF($A$2:$A$146=A58,$K$2:$K$146))</f>
        <v>0.5</v>
      </c>
      <c r="S58" s="21">
        <f t="array" ref="S58">L58/MAX(IF($A$2:$A$146=A58,$L$2:$L$146))</f>
        <v>0.4</v>
      </c>
      <c r="T58" s="21">
        <f t="array" ref="T58">M58/MAX(IF($A$2:$A$146=A58,$M$2:$M$146))</f>
        <v>0.118852459</v>
      </c>
      <c r="U58" s="21">
        <f t="array" ref="U58">N58/MAX(IF($A$2:$A$146=A58,$N$2:$N$146))</f>
        <v>0.4561403509</v>
      </c>
      <c r="V58" s="21">
        <f t="array" ref="V58">MIN(IF($A$2:$A$146=A58,$O$2:$O$146))/O58</f>
        <v>0.9787101634</v>
      </c>
    </row>
    <row r="59" ht="15.0" customHeight="1">
      <c r="A59" s="15" t="s">
        <v>29</v>
      </c>
      <c r="B59" s="15" t="s">
        <v>87</v>
      </c>
      <c r="C59" s="15" t="s">
        <v>136</v>
      </c>
      <c r="D59" s="15" t="s">
        <v>140</v>
      </c>
      <c r="E59" s="15" t="s">
        <v>68</v>
      </c>
      <c r="F59" s="16">
        <v>854.0</v>
      </c>
      <c r="G59" s="16">
        <v>20.0</v>
      </c>
      <c r="H59" s="16">
        <v>126.0</v>
      </c>
      <c r="I59" s="17">
        <v>3.93</v>
      </c>
      <c r="J59" s="18">
        <v>37.2</v>
      </c>
      <c r="K59" s="19">
        <v>0.03</v>
      </c>
      <c r="L59" s="18">
        <v>2.9</v>
      </c>
      <c r="M59" s="18">
        <v>1.5</v>
      </c>
      <c r="N59" s="19">
        <v>0.34</v>
      </c>
      <c r="O59" s="20">
        <v>1.50485</v>
      </c>
      <c r="P59" s="21">
        <f t="array" ref="P59">I59/MAX(IF($A$2:$A$146=A59,$I$2:$I$146))</f>
        <v>0.8451612903</v>
      </c>
      <c r="Q59" s="21">
        <f t="array" ref="Q59">J59/MAX(IF($A$2:$A$146=A59,$J$2:$J$146))</f>
        <v>0.7032136106</v>
      </c>
      <c r="R59" s="21">
        <f t="array" ref="R59">K59/MAX(IF($A$2:$A$146=A59,$K$2:$K$146))</f>
        <v>0.6</v>
      </c>
      <c r="S59" s="21">
        <f t="array" ref="S59">L59/MAX(IF($A$2:$A$146=A59,$L$2:$L$146))</f>
        <v>0.1003460208</v>
      </c>
      <c r="T59" s="21">
        <f t="array" ref="T59">M59/MAX(IF($A$2:$A$146=A59,$M$2:$M$146))</f>
        <v>0.09090909091</v>
      </c>
      <c r="U59" s="21">
        <f t="array" ref="U59">N59/MAX(IF($A$2:$A$146=A59,$N$2:$N$146))</f>
        <v>0.5151515152</v>
      </c>
      <c r="V59" s="21">
        <f t="array" ref="V59">MIN(IF($A$2:$A$146=A59,$O$2:$O$146))/O59</f>
        <v>0.9808951058</v>
      </c>
    </row>
    <row r="60" ht="15.0" customHeight="1">
      <c r="A60" s="15" t="s">
        <v>32</v>
      </c>
      <c r="B60" s="15" t="s">
        <v>87</v>
      </c>
      <c r="C60" s="15" t="s">
        <v>136</v>
      </c>
      <c r="D60" s="15" t="s">
        <v>141</v>
      </c>
      <c r="E60" s="15" t="s">
        <v>142</v>
      </c>
      <c r="F60" s="16">
        <v>862.0</v>
      </c>
      <c r="G60" s="16">
        <v>13.0</v>
      </c>
      <c r="H60" s="16">
        <v>126.0</v>
      </c>
      <c r="I60" s="17">
        <v>3.92</v>
      </c>
      <c r="J60" s="18">
        <v>34.6</v>
      </c>
      <c r="K60" s="19">
        <v>0.02</v>
      </c>
      <c r="L60" s="18">
        <v>6.2</v>
      </c>
      <c r="M60" s="18">
        <v>1.1</v>
      </c>
      <c r="N60" s="19">
        <v>0.26</v>
      </c>
      <c r="O60" s="20">
        <v>1.50265</v>
      </c>
      <c r="P60" s="21">
        <f t="array" ref="P60">I60/MAX(IF($A$2:$A$146=A60,$I$2:$I$146))</f>
        <v>0.8540305011</v>
      </c>
      <c r="Q60" s="21">
        <f t="array" ref="Q60">J60/MAX(IF($A$2:$A$146=A60,$J$2:$J$146))</f>
        <v>0.3552361396</v>
      </c>
      <c r="R60" s="21">
        <f t="array" ref="R60">K60/MAX(IF($A$2:$A$146=A60,$K$2:$K$146))</f>
        <v>0.5</v>
      </c>
      <c r="S60" s="21">
        <f t="array" ref="S60">L60/MAX(IF($A$2:$A$146=A60,$L$2:$L$146))</f>
        <v>0.3583815029</v>
      </c>
      <c r="T60" s="21">
        <f t="array" ref="T60">M60/MAX(IF($A$2:$A$146=A60,$M$2:$M$146))</f>
        <v>0.06358381503</v>
      </c>
      <c r="U60" s="21">
        <f t="array" ref="U60">N60/MAX(IF($A$2:$A$146=A60,$N$2:$N$146))</f>
        <v>0.4814814815</v>
      </c>
      <c r="V60" s="21">
        <f t="array" ref="V60">MIN(IF($A$2:$A$146=A60,$O$2:$O$146))/O60</f>
        <v>0.9821981167</v>
      </c>
    </row>
    <row r="61" ht="15.0" customHeight="1">
      <c r="A61" s="15" t="s">
        <v>35</v>
      </c>
      <c r="B61" s="15" t="s">
        <v>87</v>
      </c>
      <c r="C61" s="15" t="s">
        <v>136</v>
      </c>
      <c r="D61" s="15" t="s">
        <v>143</v>
      </c>
      <c r="E61" s="15" t="s">
        <v>144</v>
      </c>
      <c r="F61" s="16">
        <v>853.0</v>
      </c>
      <c r="G61" s="16">
        <v>22.0</v>
      </c>
      <c r="H61" s="16">
        <v>125.0</v>
      </c>
      <c r="I61" s="17">
        <v>3.9</v>
      </c>
      <c r="J61" s="18">
        <v>34.7</v>
      </c>
      <c r="K61" s="19">
        <v>0.02</v>
      </c>
      <c r="L61" s="18">
        <v>0.9</v>
      </c>
      <c r="M61" s="18">
        <v>1.2</v>
      </c>
      <c r="N61" s="19">
        <v>0.26</v>
      </c>
      <c r="O61" s="20">
        <v>1.5039</v>
      </c>
      <c r="P61" s="21">
        <f t="array" ref="P61">I61/MAX(IF($A$2:$A$146=A61,$I$2:$I$146))</f>
        <v>0.9048723898</v>
      </c>
      <c r="Q61" s="21">
        <f t="array" ref="Q61">J61/MAX(IF($A$2:$A$146=A61,$J$2:$J$146))</f>
        <v>0.6967871486</v>
      </c>
      <c r="R61" s="21">
        <f t="array" ref="R61">K61/MAX(IF($A$2:$A$146=A61,$K$2:$K$146))</f>
        <v>0.5</v>
      </c>
      <c r="S61" s="21">
        <f t="array" ref="S61">L61/MAX(IF($A$2:$A$146=A61,$L$2:$L$146))</f>
        <v>0.1551724138</v>
      </c>
      <c r="T61" s="21">
        <f t="array" ref="T61">M61/MAX(IF($A$2:$A$146=A61,$M$2:$M$146))</f>
        <v>0.07692307692</v>
      </c>
      <c r="U61" s="21">
        <f t="array" ref="U61">N61/MAX(IF($A$2:$A$146=A61,$N$2:$N$146))</f>
        <v>0.5306122449</v>
      </c>
      <c r="V61" s="21">
        <f t="array" ref="V61">MIN(IF($A$2:$A$146=A61,$O$2:$O$146))/O61</f>
        <v>0.9880976129</v>
      </c>
    </row>
    <row r="62" ht="15.0" customHeight="1">
      <c r="A62" s="15" t="s">
        <v>22</v>
      </c>
      <c r="B62" s="15" t="s">
        <v>87</v>
      </c>
      <c r="C62" s="15" t="s">
        <v>145</v>
      </c>
      <c r="D62" s="15" t="s">
        <v>145</v>
      </c>
      <c r="E62" s="15" t="s">
        <v>146</v>
      </c>
      <c r="F62" s="16">
        <v>912.0</v>
      </c>
      <c r="G62" s="16">
        <v>25.0</v>
      </c>
      <c r="H62" s="16">
        <v>63.0</v>
      </c>
      <c r="I62" s="17">
        <v>3.94</v>
      </c>
      <c r="J62" s="18">
        <v>44.7</v>
      </c>
      <c r="K62" s="19">
        <v>0.04</v>
      </c>
      <c r="L62" s="18">
        <v>3.5</v>
      </c>
      <c r="M62" s="18">
        <v>3.8</v>
      </c>
      <c r="N62" s="19">
        <v>0.59</v>
      </c>
      <c r="O62" s="20">
        <v>1.5511</v>
      </c>
      <c r="P62" s="21">
        <f t="array" ref="P62">I62/MAX(IF($A$2:$A$146=A62,$I$2:$I$146))</f>
        <v>0.7895791583</v>
      </c>
      <c r="Q62" s="21">
        <f t="array" ref="Q62">J62/MAX(IF($A$2:$A$146=A62,$J$2:$J$146))</f>
        <v>0.5566625156</v>
      </c>
      <c r="R62" s="21">
        <f t="array" ref="R62">K62/MAX(IF($A$2:$A$146=A62,$K$2:$K$146))</f>
        <v>0.4</v>
      </c>
      <c r="S62" s="21">
        <f t="array" ref="S62">L62/MAX(IF($A$2:$A$146=A62,$L$2:$L$146))</f>
        <v>0.4375</v>
      </c>
      <c r="T62" s="21">
        <f t="array" ref="T62">M62/MAX(IF($A$2:$A$146=A62,$M$2:$M$146))</f>
        <v>0.1088825215</v>
      </c>
      <c r="U62" s="21">
        <f t="array" ref="U62">N62/MAX(IF($A$2:$A$146=A62,$N$2:$N$146))</f>
        <v>0.4609375</v>
      </c>
      <c r="V62" s="21">
        <f t="array" ref="V62">MIN(IF($A$2:$A$146=A62,$O$2:$O$146))/O62</f>
        <v>0.9747598478</v>
      </c>
    </row>
    <row r="63" ht="15.0" customHeight="1">
      <c r="A63" s="15" t="s">
        <v>26</v>
      </c>
      <c r="B63" s="15" t="s">
        <v>87</v>
      </c>
      <c r="C63" s="15" t="s">
        <v>145</v>
      </c>
      <c r="D63" s="15" t="s">
        <v>147</v>
      </c>
      <c r="E63" s="15" t="s">
        <v>148</v>
      </c>
      <c r="F63" s="16">
        <v>928.0</v>
      </c>
      <c r="G63" s="16">
        <v>22.0</v>
      </c>
      <c r="H63" s="16">
        <v>50.0</v>
      </c>
      <c r="I63" s="17">
        <v>3.98</v>
      </c>
      <c r="J63" s="18">
        <v>36.9</v>
      </c>
      <c r="K63" s="19">
        <v>0.04</v>
      </c>
      <c r="L63" s="18">
        <v>3.3</v>
      </c>
      <c r="M63" s="18">
        <v>3.1</v>
      </c>
      <c r="N63" s="19">
        <v>0.54</v>
      </c>
      <c r="O63" s="20">
        <v>1.55285</v>
      </c>
      <c r="P63" s="21">
        <f t="array" ref="P63">I63/MAX(IF($A$2:$A$146=A63,$I$2:$I$146))</f>
        <v>0.81724846</v>
      </c>
      <c r="Q63" s="21">
        <f t="array" ref="Q63">J63/MAX(IF($A$2:$A$146=A63,$J$2:$J$146))</f>
        <v>0.586645469</v>
      </c>
      <c r="R63" s="21">
        <f t="array" ref="R63">K63/MAX(IF($A$2:$A$146=A63,$K$2:$K$146))</f>
        <v>0.5</v>
      </c>
      <c r="S63" s="21">
        <f t="array" ref="S63">L63/MAX(IF($A$2:$A$146=A63,$L$2:$L$146))</f>
        <v>0.55</v>
      </c>
      <c r="T63" s="21">
        <f t="array" ref="T63">M63/MAX(IF($A$2:$A$146=A63,$M$2:$M$146))</f>
        <v>0.1270491803</v>
      </c>
      <c r="U63" s="21">
        <f t="array" ref="U63">N63/MAX(IF($A$2:$A$146=A63,$N$2:$N$146))</f>
        <v>0.4736842105</v>
      </c>
      <c r="V63" s="21">
        <f t="array" ref="V63">MIN(IF($A$2:$A$146=A63,$O$2:$O$146))/O63</f>
        <v>0.9621341405</v>
      </c>
    </row>
    <row r="64" ht="15.0" customHeight="1">
      <c r="A64" s="15" t="s">
        <v>29</v>
      </c>
      <c r="B64" s="15" t="s">
        <v>87</v>
      </c>
      <c r="C64" s="15" t="s">
        <v>145</v>
      </c>
      <c r="D64" s="15" t="s">
        <v>149</v>
      </c>
      <c r="E64" s="15" t="s">
        <v>77</v>
      </c>
      <c r="F64" s="16">
        <v>835.0</v>
      </c>
      <c r="G64" s="16">
        <v>27.0</v>
      </c>
      <c r="H64" s="16">
        <v>138.0</v>
      </c>
      <c r="I64" s="17">
        <v>3.91</v>
      </c>
      <c r="J64" s="18">
        <v>36.2</v>
      </c>
      <c r="K64" s="19">
        <v>0.03</v>
      </c>
      <c r="L64" s="18">
        <v>3.1</v>
      </c>
      <c r="M64" s="18">
        <v>1.3</v>
      </c>
      <c r="N64" s="19">
        <v>0.37</v>
      </c>
      <c r="O64" s="20">
        <v>1.49705</v>
      </c>
      <c r="P64" s="21">
        <f t="array" ref="P64">I64/MAX(IF($A$2:$A$146=A64,$I$2:$I$146))</f>
        <v>0.8408602151</v>
      </c>
      <c r="Q64" s="21">
        <f t="array" ref="Q64">J64/MAX(IF($A$2:$A$146=A64,$J$2:$J$146))</f>
        <v>0.6843100189</v>
      </c>
      <c r="R64" s="21">
        <f t="array" ref="R64">K64/MAX(IF($A$2:$A$146=A64,$K$2:$K$146))</f>
        <v>0.6</v>
      </c>
      <c r="S64" s="21">
        <f t="array" ref="S64">L64/MAX(IF($A$2:$A$146=A64,$L$2:$L$146))</f>
        <v>0.107266436</v>
      </c>
      <c r="T64" s="21">
        <f t="array" ref="T64">M64/MAX(IF($A$2:$A$146=A64,$M$2:$M$146))</f>
        <v>0.07878787879</v>
      </c>
      <c r="U64" s="21">
        <f t="array" ref="U64">N64/MAX(IF($A$2:$A$146=A64,$N$2:$N$146))</f>
        <v>0.5606060606</v>
      </c>
      <c r="V64" s="21">
        <f t="array" ref="V64">MIN(IF($A$2:$A$146=A64,$O$2:$O$146))/O64</f>
        <v>0.9860058114</v>
      </c>
    </row>
    <row r="65" ht="15.0" customHeight="1">
      <c r="A65" s="15" t="s">
        <v>32</v>
      </c>
      <c r="B65" s="15" t="s">
        <v>87</v>
      </c>
      <c r="C65" s="15" t="s">
        <v>145</v>
      </c>
      <c r="D65" s="15" t="s">
        <v>150</v>
      </c>
      <c r="E65" s="15" t="s">
        <v>151</v>
      </c>
      <c r="F65" s="16">
        <v>853.0</v>
      </c>
      <c r="G65" s="16">
        <v>22.0</v>
      </c>
      <c r="H65" s="16">
        <v>126.0</v>
      </c>
      <c r="I65" s="17">
        <v>3.9</v>
      </c>
      <c r="J65" s="18">
        <v>33.8</v>
      </c>
      <c r="K65" s="19">
        <v>0.03</v>
      </c>
      <c r="L65" s="18">
        <v>6.0</v>
      </c>
      <c r="M65" s="18">
        <v>1.0</v>
      </c>
      <c r="N65" s="19">
        <v>0.38</v>
      </c>
      <c r="O65" s="20">
        <v>1.5007</v>
      </c>
      <c r="P65" s="21">
        <f t="array" ref="P65">I65/MAX(IF($A$2:$A$146=A65,$I$2:$I$146))</f>
        <v>0.8496732026</v>
      </c>
      <c r="Q65" s="21">
        <f t="array" ref="Q65">J65/MAX(IF($A$2:$A$146=A65,$J$2:$J$146))</f>
        <v>0.3470225873</v>
      </c>
      <c r="R65" s="21">
        <f t="array" ref="R65">K65/MAX(IF($A$2:$A$146=A65,$K$2:$K$146))</f>
        <v>0.75</v>
      </c>
      <c r="S65" s="21">
        <f t="array" ref="S65">L65/MAX(IF($A$2:$A$146=A65,$L$2:$L$146))</f>
        <v>0.3468208092</v>
      </c>
      <c r="T65" s="21">
        <f t="array" ref="T65">M65/MAX(IF($A$2:$A$146=A65,$M$2:$M$146))</f>
        <v>0.05780346821</v>
      </c>
      <c r="U65" s="21">
        <f t="array" ref="U65">N65/MAX(IF($A$2:$A$146=A65,$N$2:$N$146))</f>
        <v>0.7037037037</v>
      </c>
      <c r="V65" s="21">
        <f t="array" ref="V65">MIN(IF($A$2:$A$146=A65,$O$2:$O$146))/O65</f>
        <v>0.9834743786</v>
      </c>
    </row>
    <row r="66" ht="15.0" customHeight="1">
      <c r="A66" s="15" t="s">
        <v>35</v>
      </c>
      <c r="B66" s="15" t="s">
        <v>87</v>
      </c>
      <c r="C66" s="15" t="s">
        <v>145</v>
      </c>
      <c r="D66" s="15" t="s">
        <v>152</v>
      </c>
      <c r="E66" s="15" t="s">
        <v>153</v>
      </c>
      <c r="F66" s="16">
        <v>852.0</v>
      </c>
      <c r="G66" s="16">
        <v>23.0</v>
      </c>
      <c r="H66" s="16">
        <v>125.0</v>
      </c>
      <c r="I66" s="17">
        <v>3.9</v>
      </c>
      <c r="J66" s="18">
        <v>31.3</v>
      </c>
      <c r="K66" s="19">
        <v>0.02</v>
      </c>
      <c r="L66" s="18">
        <v>0.9</v>
      </c>
      <c r="M66" s="18">
        <v>1.2</v>
      </c>
      <c r="N66" s="19">
        <v>0.24</v>
      </c>
      <c r="O66" s="20">
        <v>1.5041</v>
      </c>
      <c r="P66" s="21">
        <f t="array" ref="P66">I66/MAX(IF($A$2:$A$146=A66,$I$2:$I$146))</f>
        <v>0.9048723898</v>
      </c>
      <c r="Q66" s="21">
        <f t="array" ref="Q66">J66/MAX(IF($A$2:$A$146=A66,$J$2:$J$146))</f>
        <v>0.6285140562</v>
      </c>
      <c r="R66" s="21">
        <f t="array" ref="R66">K66/MAX(IF($A$2:$A$146=A66,$K$2:$K$146))</f>
        <v>0.5</v>
      </c>
      <c r="S66" s="21">
        <f t="array" ref="S66">L66/MAX(IF($A$2:$A$146=A66,$L$2:$L$146))</f>
        <v>0.1551724138</v>
      </c>
      <c r="T66" s="21">
        <f t="array" ref="T66">M66/MAX(IF($A$2:$A$146=A66,$M$2:$M$146))</f>
        <v>0.07692307692</v>
      </c>
      <c r="U66" s="21">
        <f t="array" ref="U66">N66/MAX(IF($A$2:$A$146=A66,$N$2:$N$146))</f>
        <v>0.4897959184</v>
      </c>
      <c r="V66" s="21">
        <f t="array" ref="V66">MIN(IF($A$2:$A$146=A66,$O$2:$O$146))/O66</f>
        <v>0.9879662256</v>
      </c>
    </row>
    <row r="67" ht="15.0" customHeight="1">
      <c r="A67" s="15" t="s">
        <v>22</v>
      </c>
      <c r="B67" s="15" t="s">
        <v>87</v>
      </c>
      <c r="C67" s="15" t="s">
        <v>154</v>
      </c>
      <c r="D67" s="15" t="s">
        <v>154</v>
      </c>
      <c r="E67" s="15" t="s">
        <v>155</v>
      </c>
      <c r="F67" s="16">
        <v>898.0</v>
      </c>
      <c r="G67" s="16">
        <v>27.0</v>
      </c>
      <c r="H67" s="16">
        <v>75.0</v>
      </c>
      <c r="I67" s="17">
        <v>4.07</v>
      </c>
      <c r="J67" s="18">
        <v>44.6</v>
      </c>
      <c r="K67" s="19">
        <v>0.05</v>
      </c>
      <c r="L67" s="18">
        <v>3.8</v>
      </c>
      <c r="M67" s="18">
        <v>5.8</v>
      </c>
      <c r="N67" s="19">
        <v>0.58</v>
      </c>
      <c r="O67" s="20">
        <v>1.5602</v>
      </c>
      <c r="P67" s="21">
        <f t="array" ref="P67">I67/MAX(IF($A$2:$A$146=A67,$I$2:$I$146))</f>
        <v>0.8156312625</v>
      </c>
      <c r="Q67" s="21">
        <f t="array" ref="Q67">J67/MAX(IF($A$2:$A$146=A67,$J$2:$J$146))</f>
        <v>0.5554171856</v>
      </c>
      <c r="R67" s="21">
        <f t="array" ref="R67">K67/MAX(IF($A$2:$A$146=A67,$K$2:$K$146))</f>
        <v>0.5</v>
      </c>
      <c r="S67" s="21">
        <f t="array" ref="S67">L67/MAX(IF($A$2:$A$146=A67,$L$2:$L$146))</f>
        <v>0.475</v>
      </c>
      <c r="T67" s="21">
        <f t="array" ref="T67">M67/MAX(IF($A$2:$A$146=A67,$M$2:$M$146))</f>
        <v>0.1661891117</v>
      </c>
      <c r="U67" s="21">
        <f t="array" ref="U67">N67/MAX(IF($A$2:$A$146=A67,$N$2:$N$146))</f>
        <v>0.453125</v>
      </c>
      <c r="V67" s="21">
        <f t="array" ref="V67">MIN(IF($A$2:$A$146=A67,$O$2:$O$146))/O67</f>
        <v>0.9690744776</v>
      </c>
    </row>
    <row r="68" ht="15.0" customHeight="1">
      <c r="A68" s="15" t="s">
        <v>26</v>
      </c>
      <c r="B68" s="15" t="s">
        <v>87</v>
      </c>
      <c r="C68" s="15" t="s">
        <v>154</v>
      </c>
      <c r="D68" s="15" t="s">
        <v>156</v>
      </c>
      <c r="E68" s="15" t="s">
        <v>157</v>
      </c>
      <c r="F68" s="16">
        <v>837.0</v>
      </c>
      <c r="G68" s="16">
        <v>38.0</v>
      </c>
      <c r="H68" s="16">
        <v>126.0</v>
      </c>
      <c r="I68" s="17">
        <v>4.03</v>
      </c>
      <c r="J68" s="18">
        <v>34.7</v>
      </c>
      <c r="K68" s="19">
        <v>0.03</v>
      </c>
      <c r="L68" s="18">
        <v>1.8</v>
      </c>
      <c r="M68" s="18">
        <v>2.9</v>
      </c>
      <c r="N68" s="19">
        <v>0.37</v>
      </c>
      <c r="O68" s="20">
        <v>1.51505</v>
      </c>
      <c r="P68" s="21">
        <f t="array" ref="P68">I68/MAX(IF($A$2:$A$146=A68,$I$2:$I$146))</f>
        <v>0.8275154004</v>
      </c>
      <c r="Q68" s="21">
        <f t="array" ref="Q68">J68/MAX(IF($A$2:$A$146=A68,$J$2:$J$146))</f>
        <v>0.5516693164</v>
      </c>
      <c r="R68" s="21">
        <f t="array" ref="R68">K68/MAX(IF($A$2:$A$146=A68,$K$2:$K$146))</f>
        <v>0.375</v>
      </c>
      <c r="S68" s="21">
        <f t="array" ref="S68">L68/MAX(IF($A$2:$A$146=A68,$L$2:$L$146))</f>
        <v>0.3</v>
      </c>
      <c r="T68" s="21">
        <f t="array" ref="T68">M68/MAX(IF($A$2:$A$146=A68,$M$2:$M$146))</f>
        <v>0.118852459</v>
      </c>
      <c r="U68" s="21">
        <f t="array" ref="U68">N68/MAX(IF($A$2:$A$146=A68,$N$2:$N$146))</f>
        <v>0.3245614035</v>
      </c>
      <c r="V68" s="21">
        <f t="array" ref="V68">MIN(IF($A$2:$A$146=A68,$O$2:$O$146))/O68</f>
        <v>0.9861390713</v>
      </c>
    </row>
    <row r="69" ht="15.0" customHeight="1">
      <c r="A69" s="15" t="s">
        <v>29</v>
      </c>
      <c r="B69" s="15" t="s">
        <v>87</v>
      </c>
      <c r="C69" s="15" t="s">
        <v>154</v>
      </c>
      <c r="D69" s="15" t="s">
        <v>158</v>
      </c>
      <c r="E69" s="15" t="s">
        <v>159</v>
      </c>
      <c r="F69" s="16">
        <v>819.0</v>
      </c>
      <c r="G69" s="16">
        <v>30.0</v>
      </c>
      <c r="H69" s="16">
        <v>151.0</v>
      </c>
      <c r="I69" s="17">
        <v>3.98</v>
      </c>
      <c r="J69" s="18">
        <v>34.5</v>
      </c>
      <c r="K69" s="19">
        <v>0.02</v>
      </c>
      <c r="L69" s="18">
        <v>3.5</v>
      </c>
      <c r="M69" s="18">
        <v>2.4</v>
      </c>
      <c r="N69" s="19">
        <v>0.3</v>
      </c>
      <c r="O69" s="20">
        <v>1.4995</v>
      </c>
      <c r="P69" s="21">
        <f t="array" ref="P69">I69/MAX(IF($A$2:$A$146=A69,$I$2:$I$146))</f>
        <v>0.8559139785</v>
      </c>
      <c r="Q69" s="21">
        <f t="array" ref="Q69">J69/MAX(IF($A$2:$A$146=A69,$J$2:$J$146))</f>
        <v>0.652173913</v>
      </c>
      <c r="R69" s="21">
        <f t="array" ref="R69">K69/MAX(IF($A$2:$A$146=A69,$K$2:$K$146))</f>
        <v>0.4</v>
      </c>
      <c r="S69" s="21">
        <f t="array" ref="S69">L69/MAX(IF($A$2:$A$146=A69,$L$2:$L$146))</f>
        <v>0.1211072664</v>
      </c>
      <c r="T69" s="21">
        <f t="array" ref="T69">M69/MAX(IF($A$2:$A$146=A69,$M$2:$M$146))</f>
        <v>0.1454545455</v>
      </c>
      <c r="U69" s="21">
        <f t="array" ref="U69">N69/MAX(IF($A$2:$A$146=A69,$N$2:$N$146))</f>
        <v>0.4545454545</v>
      </c>
      <c r="V69" s="21">
        <f t="array" ref="V69">MIN(IF($A$2:$A$146=A69,$O$2:$O$146))/O69</f>
        <v>0.9843947983</v>
      </c>
    </row>
    <row r="70" ht="15.0" customHeight="1">
      <c r="A70" s="15" t="s">
        <v>32</v>
      </c>
      <c r="B70" s="15" t="s">
        <v>87</v>
      </c>
      <c r="C70" s="15" t="s">
        <v>154</v>
      </c>
      <c r="D70" s="15" t="s">
        <v>160</v>
      </c>
      <c r="E70" s="15" t="s">
        <v>161</v>
      </c>
      <c r="F70" s="16">
        <v>826.0</v>
      </c>
      <c r="G70" s="16">
        <v>22.0</v>
      </c>
      <c r="H70" s="16">
        <v>151.0</v>
      </c>
      <c r="I70" s="17">
        <v>3.91</v>
      </c>
      <c r="J70" s="18">
        <v>36.1</v>
      </c>
      <c r="K70" s="19">
        <v>0.02</v>
      </c>
      <c r="L70" s="18">
        <v>6.0</v>
      </c>
      <c r="M70" s="18">
        <v>1.9</v>
      </c>
      <c r="N70" s="19">
        <v>0.31</v>
      </c>
      <c r="O70" s="20">
        <v>1.49565</v>
      </c>
      <c r="P70" s="21">
        <f t="array" ref="P70">I70/MAX(IF($A$2:$A$146=A70,$I$2:$I$146))</f>
        <v>0.8518518519</v>
      </c>
      <c r="Q70" s="21">
        <f t="array" ref="Q70">J70/MAX(IF($A$2:$A$146=A70,$J$2:$J$146))</f>
        <v>0.3706365503</v>
      </c>
      <c r="R70" s="21">
        <f t="array" ref="R70">K70/MAX(IF($A$2:$A$146=A70,$K$2:$K$146))</f>
        <v>0.5</v>
      </c>
      <c r="S70" s="21">
        <f t="array" ref="S70">L70/MAX(IF($A$2:$A$146=A70,$L$2:$L$146))</f>
        <v>0.3468208092</v>
      </c>
      <c r="T70" s="21">
        <f t="array" ref="T70">M70/MAX(IF($A$2:$A$146=A70,$M$2:$M$146))</f>
        <v>0.1098265896</v>
      </c>
      <c r="U70" s="21">
        <f t="array" ref="U70">N70/MAX(IF($A$2:$A$146=A70,$N$2:$N$146))</f>
        <v>0.5740740741</v>
      </c>
      <c r="V70" s="21">
        <f t="array" ref="V70">MIN(IF($A$2:$A$146=A70,$O$2:$O$146))/O70</f>
        <v>0.9867950389</v>
      </c>
    </row>
    <row r="71" ht="15.0" customHeight="1">
      <c r="A71" s="15" t="s">
        <v>35</v>
      </c>
      <c r="B71" s="15" t="s">
        <v>87</v>
      </c>
      <c r="C71" s="15" t="s">
        <v>154</v>
      </c>
      <c r="D71" s="15" t="s">
        <v>162</v>
      </c>
      <c r="E71" s="15" t="s">
        <v>163</v>
      </c>
      <c r="F71" s="16">
        <v>812.0</v>
      </c>
      <c r="G71" s="16">
        <v>37.0</v>
      </c>
      <c r="H71" s="16">
        <v>151.0</v>
      </c>
      <c r="I71" s="17">
        <v>3.88</v>
      </c>
      <c r="J71" s="18">
        <v>35.6</v>
      </c>
      <c r="K71" s="19">
        <v>0.02</v>
      </c>
      <c r="L71" s="18">
        <v>0.9</v>
      </c>
      <c r="M71" s="18">
        <v>2.1</v>
      </c>
      <c r="N71" s="19">
        <v>0.26</v>
      </c>
      <c r="O71" s="20">
        <v>1.49765</v>
      </c>
      <c r="P71" s="21">
        <f t="array" ref="P71">I71/MAX(IF($A$2:$A$146=A71,$I$2:$I$146))</f>
        <v>0.9002320186</v>
      </c>
      <c r="Q71" s="21">
        <f t="array" ref="Q71">J71/MAX(IF($A$2:$A$146=A71,$J$2:$J$146))</f>
        <v>0.7148594378</v>
      </c>
      <c r="R71" s="21">
        <f t="array" ref="R71">K71/MAX(IF($A$2:$A$146=A71,$K$2:$K$146))</f>
        <v>0.5</v>
      </c>
      <c r="S71" s="21">
        <f t="array" ref="S71">L71/MAX(IF($A$2:$A$146=A71,$L$2:$L$146))</f>
        <v>0.1551724138</v>
      </c>
      <c r="T71" s="21">
        <f t="array" ref="T71">M71/MAX(IF($A$2:$A$146=A71,$M$2:$M$146))</f>
        <v>0.1346153846</v>
      </c>
      <c r="U71" s="21">
        <f t="array" ref="U71">N71/MAX(IF($A$2:$A$146=A71,$N$2:$N$146))</f>
        <v>0.5306122449</v>
      </c>
      <c r="V71" s="21">
        <f t="array" ref="V71">MIN(IF($A$2:$A$146=A71,$O$2:$O$146))/O71</f>
        <v>0.9922211465</v>
      </c>
    </row>
    <row r="72" ht="15.0" customHeight="1">
      <c r="A72" s="15" t="s">
        <v>22</v>
      </c>
      <c r="B72" s="15" t="s">
        <v>87</v>
      </c>
      <c r="C72" s="15" t="s">
        <v>51</v>
      </c>
      <c r="D72" s="15" t="s">
        <v>51</v>
      </c>
      <c r="E72" s="15" t="s">
        <v>164</v>
      </c>
      <c r="F72" s="16">
        <v>890.0</v>
      </c>
      <c r="G72" s="16">
        <v>22.0</v>
      </c>
      <c r="H72" s="16">
        <v>88.0</v>
      </c>
      <c r="I72" s="17">
        <v>4.06</v>
      </c>
      <c r="J72" s="18">
        <v>45.2</v>
      </c>
      <c r="K72" s="19">
        <v>0.05</v>
      </c>
      <c r="L72" s="18">
        <v>4.2</v>
      </c>
      <c r="M72" s="18">
        <v>4.7</v>
      </c>
      <c r="N72" s="19">
        <v>0.66</v>
      </c>
      <c r="O72" s="20">
        <v>1.54465</v>
      </c>
      <c r="P72" s="21">
        <f t="array" ref="P72">I72/MAX(IF($A$2:$A$146=A72,$I$2:$I$146))</f>
        <v>0.8136272545</v>
      </c>
      <c r="Q72" s="21">
        <f t="array" ref="Q72">J72/MAX(IF($A$2:$A$146=A72,$J$2:$J$146))</f>
        <v>0.5628891656</v>
      </c>
      <c r="R72" s="21">
        <f t="array" ref="R72">K72/MAX(IF($A$2:$A$146=A72,$K$2:$K$146))</f>
        <v>0.5</v>
      </c>
      <c r="S72" s="21">
        <f t="array" ref="S72">L72/MAX(IF($A$2:$A$146=A72,$L$2:$L$146))</f>
        <v>0.525</v>
      </c>
      <c r="T72" s="21">
        <f t="array" ref="T72">M72/MAX(IF($A$2:$A$146=A72,$M$2:$M$146))</f>
        <v>0.1346704871</v>
      </c>
      <c r="U72" s="21">
        <f t="array" ref="U72">N72/MAX(IF($A$2:$A$146=A72,$N$2:$N$146))</f>
        <v>0.515625</v>
      </c>
      <c r="V72" s="21">
        <f t="array" ref="V72">MIN(IF($A$2:$A$146=A72,$O$2:$O$146))/O72</f>
        <v>0.9788301557</v>
      </c>
    </row>
    <row r="73" ht="15.0" customHeight="1">
      <c r="A73" s="15" t="s">
        <v>26</v>
      </c>
      <c r="B73" s="15" t="s">
        <v>87</v>
      </c>
      <c r="C73" s="15" t="s">
        <v>51</v>
      </c>
      <c r="D73" s="15" t="s">
        <v>165</v>
      </c>
      <c r="E73" s="15" t="s">
        <v>166</v>
      </c>
      <c r="F73" s="16">
        <v>835.0</v>
      </c>
      <c r="G73" s="16">
        <v>15.0</v>
      </c>
      <c r="H73" s="16">
        <v>151.0</v>
      </c>
      <c r="I73" s="17">
        <v>4.03</v>
      </c>
      <c r="J73" s="18">
        <v>42.7</v>
      </c>
      <c r="K73" s="19">
        <v>0.03</v>
      </c>
      <c r="L73" s="18">
        <v>2.6</v>
      </c>
      <c r="M73" s="18">
        <v>3.5</v>
      </c>
      <c r="N73" s="19">
        <v>0.43</v>
      </c>
      <c r="O73" s="20">
        <v>1.50645</v>
      </c>
      <c r="P73" s="21">
        <f t="array" ref="P73">I73/MAX(IF($A$2:$A$146=A73,$I$2:$I$146))</f>
        <v>0.8275154004</v>
      </c>
      <c r="Q73" s="21">
        <f t="array" ref="Q73">J73/MAX(IF($A$2:$A$146=A73,$J$2:$J$146))</f>
        <v>0.6788553259</v>
      </c>
      <c r="R73" s="21">
        <f t="array" ref="R73">K73/MAX(IF($A$2:$A$146=A73,$K$2:$K$146))</f>
        <v>0.375</v>
      </c>
      <c r="S73" s="21">
        <f t="array" ref="S73">L73/MAX(IF($A$2:$A$146=A73,$L$2:$L$146))</f>
        <v>0.4333333333</v>
      </c>
      <c r="T73" s="21">
        <f t="array" ref="T73">M73/MAX(IF($A$2:$A$146=A73,$M$2:$M$146))</f>
        <v>0.143442623</v>
      </c>
      <c r="U73" s="21">
        <f t="array" ref="U73">N73/MAX(IF($A$2:$A$146=A73,$N$2:$N$146))</f>
        <v>0.3771929825</v>
      </c>
      <c r="V73" s="21">
        <f t="array" ref="V73">MIN(IF($A$2:$A$146=A73,$O$2:$O$146))/O73</f>
        <v>0.9917687278</v>
      </c>
    </row>
    <row r="74" ht="15.0" customHeight="1">
      <c r="A74" s="15" t="s">
        <v>29</v>
      </c>
      <c r="B74" s="15" t="s">
        <v>87</v>
      </c>
      <c r="C74" s="15" t="s">
        <v>51</v>
      </c>
      <c r="D74" s="15" t="s">
        <v>167</v>
      </c>
      <c r="E74" s="15" t="s">
        <v>168</v>
      </c>
      <c r="F74" s="16">
        <v>778.0</v>
      </c>
      <c r="G74" s="16">
        <v>20.0</v>
      </c>
      <c r="H74" s="16">
        <v>202.0</v>
      </c>
      <c r="I74" s="17">
        <v>4.0</v>
      </c>
      <c r="J74" s="18">
        <v>36.6</v>
      </c>
      <c r="K74" s="19">
        <v>0.03</v>
      </c>
      <c r="L74" s="18">
        <v>11.3</v>
      </c>
      <c r="M74" s="18">
        <v>2.8</v>
      </c>
      <c r="N74" s="19">
        <v>0.39</v>
      </c>
      <c r="O74" s="12">
        <v>1.4761</v>
      </c>
      <c r="P74" s="21">
        <f t="array" ref="P74">I74/MAX(IF($A$2:$A$146=A74,$I$2:$I$146))</f>
        <v>0.8602150538</v>
      </c>
      <c r="Q74" s="21">
        <f t="array" ref="Q74">J74/MAX(IF($A$2:$A$146=A74,$J$2:$J$146))</f>
        <v>0.6918714556</v>
      </c>
      <c r="R74" s="21">
        <f t="array" ref="R74">K74/MAX(IF($A$2:$A$146=A74,$K$2:$K$146))</f>
        <v>0.6</v>
      </c>
      <c r="S74" s="21">
        <f t="array" ref="S74">L74/MAX(IF($A$2:$A$146=A74,$L$2:$L$146))</f>
        <v>0.3910034602</v>
      </c>
      <c r="T74" s="21">
        <f t="array" ref="T74">M74/MAX(IF($A$2:$A$146=A74,$M$2:$M$146))</f>
        <v>0.1696969697</v>
      </c>
      <c r="U74" s="21">
        <f t="array" ref="U74">N74/MAX(IF($A$2:$A$146=A74,$N$2:$N$146))</f>
        <v>0.5909090909</v>
      </c>
      <c r="V74" s="21">
        <f t="array" ref="V74">MIN(IF($A$2:$A$146=A74,$O$2:$O$146))/O74</f>
        <v>1</v>
      </c>
    </row>
    <row r="75" ht="15.0" customHeight="1">
      <c r="A75" s="15" t="s">
        <v>32</v>
      </c>
      <c r="B75" s="15" t="s">
        <v>87</v>
      </c>
      <c r="C75" s="15" t="s">
        <v>51</v>
      </c>
      <c r="D75" s="15" t="s">
        <v>169</v>
      </c>
      <c r="E75" s="15" t="s">
        <v>170</v>
      </c>
      <c r="F75" s="16">
        <v>818.0</v>
      </c>
      <c r="G75" s="16">
        <v>19.0</v>
      </c>
      <c r="H75" s="16">
        <v>163.0</v>
      </c>
      <c r="I75" s="17">
        <v>3.88</v>
      </c>
      <c r="J75" s="10">
        <v>97.4</v>
      </c>
      <c r="K75" s="19">
        <v>0.03</v>
      </c>
      <c r="L75" s="18">
        <v>1.3</v>
      </c>
      <c r="M75" s="18">
        <v>2.4</v>
      </c>
      <c r="N75" s="19">
        <v>0.36</v>
      </c>
      <c r="O75" s="20">
        <v>1.4929</v>
      </c>
      <c r="P75" s="21">
        <f t="array" ref="P75">I75/MAX(IF($A$2:$A$146=A75,$I$2:$I$146))</f>
        <v>0.8453159041</v>
      </c>
      <c r="Q75" s="21">
        <f t="array" ref="Q75">J75/MAX(IF($A$2:$A$146=A75,$J$2:$J$146))</f>
        <v>1</v>
      </c>
      <c r="R75" s="21">
        <f t="array" ref="R75">K75/MAX(IF($A$2:$A$146=A75,$K$2:$K$146))</f>
        <v>0.75</v>
      </c>
      <c r="S75" s="21">
        <f t="array" ref="S75">L75/MAX(IF($A$2:$A$146=A75,$L$2:$L$146))</f>
        <v>0.07514450867</v>
      </c>
      <c r="T75" s="21">
        <f t="array" ref="T75">M75/MAX(IF($A$2:$A$146=A75,$M$2:$M$146))</f>
        <v>0.1387283237</v>
      </c>
      <c r="U75" s="21">
        <f t="array" ref="U75">N75/MAX(IF($A$2:$A$146=A75,$N$2:$N$146))</f>
        <v>0.6666666667</v>
      </c>
      <c r="V75" s="21">
        <f t="array" ref="V75">MIN(IF($A$2:$A$146=A75,$O$2:$O$146))/O75</f>
        <v>0.9886127671</v>
      </c>
    </row>
    <row r="76" ht="15.0" customHeight="1">
      <c r="A76" s="15" t="s">
        <v>35</v>
      </c>
      <c r="B76" s="15" t="s">
        <v>87</v>
      </c>
      <c r="C76" s="15" t="s">
        <v>51</v>
      </c>
      <c r="D76" s="15" t="s">
        <v>171</v>
      </c>
      <c r="E76" s="15" t="s">
        <v>172</v>
      </c>
      <c r="F76" s="16">
        <v>821.0</v>
      </c>
      <c r="G76" s="16">
        <v>28.0</v>
      </c>
      <c r="H76" s="16">
        <v>151.0</v>
      </c>
      <c r="I76" s="17">
        <v>3.96</v>
      </c>
      <c r="J76" s="18">
        <v>32.5</v>
      </c>
      <c r="K76" s="19">
        <v>0.02</v>
      </c>
      <c r="L76" s="18">
        <v>3.5</v>
      </c>
      <c r="M76" s="18">
        <v>1.4</v>
      </c>
      <c r="N76" s="19">
        <v>0.25</v>
      </c>
      <c r="O76" s="20">
        <v>1.4925</v>
      </c>
      <c r="P76" s="21">
        <f t="array" ref="P76">I76/MAX(IF($A$2:$A$146=A76,$I$2:$I$146))</f>
        <v>0.9187935035</v>
      </c>
      <c r="Q76" s="21">
        <f t="array" ref="Q76">J76/MAX(IF($A$2:$A$146=A76,$J$2:$J$146))</f>
        <v>0.6526104418</v>
      </c>
      <c r="R76" s="21">
        <f t="array" ref="R76">K76/MAX(IF($A$2:$A$146=A76,$K$2:$K$146))</f>
        <v>0.5</v>
      </c>
      <c r="S76" s="21">
        <f t="array" ref="S76">L76/MAX(IF($A$2:$A$146=A76,$L$2:$L$146))</f>
        <v>0.6034482759</v>
      </c>
      <c r="T76" s="21">
        <f t="array" ref="T76">M76/MAX(IF($A$2:$A$146=A76,$M$2:$M$146))</f>
        <v>0.08974358974</v>
      </c>
      <c r="U76" s="21">
        <f t="array" ref="U76">N76/MAX(IF($A$2:$A$146=A76,$N$2:$N$146))</f>
        <v>0.5102040816</v>
      </c>
      <c r="V76" s="21">
        <f t="array" ref="V76">MIN(IF($A$2:$A$146=A76,$O$2:$O$146))/O76</f>
        <v>0.9956448911</v>
      </c>
    </row>
    <row r="77" ht="15.0" customHeight="1">
      <c r="A77" s="15" t="s">
        <v>22</v>
      </c>
      <c r="B77" s="15" t="s">
        <v>87</v>
      </c>
      <c r="C77" s="15" t="s">
        <v>28</v>
      </c>
      <c r="D77" s="15" t="s">
        <v>28</v>
      </c>
      <c r="E77" s="15" t="s">
        <v>173</v>
      </c>
      <c r="F77" s="16">
        <v>911.0</v>
      </c>
      <c r="G77" s="16">
        <v>26.0</v>
      </c>
      <c r="H77" s="16">
        <v>63.0</v>
      </c>
      <c r="I77" s="17">
        <v>4.3</v>
      </c>
      <c r="J77" s="18">
        <v>44.9</v>
      </c>
      <c r="K77" s="19">
        <v>0.06</v>
      </c>
      <c r="L77" s="18">
        <v>4.2</v>
      </c>
      <c r="M77" s="18">
        <v>10.0</v>
      </c>
      <c r="N77" s="19">
        <v>0.79</v>
      </c>
      <c r="O77" s="20">
        <v>1.5956</v>
      </c>
      <c r="P77" s="21">
        <f t="array" ref="P77">I77/MAX(IF($A$2:$A$146=A77,$I$2:$I$146))</f>
        <v>0.8617234469</v>
      </c>
      <c r="Q77" s="21">
        <f t="array" ref="Q77">J77/MAX(IF($A$2:$A$146=A77,$J$2:$J$146))</f>
        <v>0.5591531756</v>
      </c>
      <c r="R77" s="21">
        <f t="array" ref="R77">K77/MAX(IF($A$2:$A$146=A77,$K$2:$K$146))</f>
        <v>0.6</v>
      </c>
      <c r="S77" s="21">
        <f t="array" ref="S77">L77/MAX(IF($A$2:$A$146=A77,$L$2:$L$146))</f>
        <v>0.525</v>
      </c>
      <c r="T77" s="21">
        <f t="array" ref="T77">M77/MAX(IF($A$2:$A$146=A77,$M$2:$M$146))</f>
        <v>0.2865329513</v>
      </c>
      <c r="U77" s="21">
        <f t="array" ref="U77">N77/MAX(IF($A$2:$A$146=A77,$N$2:$N$146))</f>
        <v>0.6171875</v>
      </c>
      <c r="V77" s="21">
        <f t="array" ref="V77">MIN(IF($A$2:$A$146=A77,$O$2:$O$146))/O77</f>
        <v>0.9475745801</v>
      </c>
    </row>
    <row r="78" ht="15.0" customHeight="1">
      <c r="A78" s="15" t="s">
        <v>26</v>
      </c>
      <c r="B78" s="15" t="s">
        <v>87</v>
      </c>
      <c r="C78" s="15" t="s">
        <v>28</v>
      </c>
      <c r="D78" s="15" t="s">
        <v>174</v>
      </c>
      <c r="E78" s="15" t="s">
        <v>175</v>
      </c>
      <c r="F78" s="16">
        <v>837.0</v>
      </c>
      <c r="G78" s="16">
        <v>25.0</v>
      </c>
      <c r="H78" s="16">
        <v>138.0</v>
      </c>
      <c r="I78" s="17">
        <v>4.14</v>
      </c>
      <c r="J78" s="18">
        <v>38.2</v>
      </c>
      <c r="K78" s="19">
        <v>0.04</v>
      </c>
      <c r="L78" s="18">
        <v>1.1</v>
      </c>
      <c r="M78" s="18">
        <v>5.4</v>
      </c>
      <c r="N78" s="19">
        <v>0.5</v>
      </c>
      <c r="O78" s="20">
        <v>1.5265</v>
      </c>
      <c r="P78" s="21">
        <f t="array" ref="P78">I78/MAX(IF($A$2:$A$146=A78,$I$2:$I$146))</f>
        <v>0.8501026694</v>
      </c>
      <c r="Q78" s="21">
        <f t="array" ref="Q78">J78/MAX(IF($A$2:$A$146=A78,$J$2:$J$146))</f>
        <v>0.6073131955</v>
      </c>
      <c r="R78" s="21">
        <f t="array" ref="R78">K78/MAX(IF($A$2:$A$146=A78,$K$2:$K$146))</f>
        <v>0.5</v>
      </c>
      <c r="S78" s="21">
        <f t="array" ref="S78">L78/MAX(IF($A$2:$A$146=A78,$L$2:$L$146))</f>
        <v>0.1833333333</v>
      </c>
      <c r="T78" s="21">
        <f t="array" ref="T78">M78/MAX(IF($A$2:$A$146=A78,$M$2:$M$146))</f>
        <v>0.2213114754</v>
      </c>
      <c r="U78" s="21">
        <f t="array" ref="U78">N78/MAX(IF($A$2:$A$146=A78,$N$2:$N$146))</f>
        <v>0.4385964912</v>
      </c>
      <c r="V78" s="21">
        <f t="array" ref="V78">MIN(IF($A$2:$A$146=A78,$O$2:$O$146))/O78</f>
        <v>0.9787422208</v>
      </c>
    </row>
    <row r="79" ht="15.0" customHeight="1">
      <c r="A79" s="15" t="s">
        <v>29</v>
      </c>
      <c r="B79" s="15" t="s">
        <v>87</v>
      </c>
      <c r="C79" s="15" t="s">
        <v>28</v>
      </c>
      <c r="D79" s="15" t="s">
        <v>176</v>
      </c>
      <c r="E79" s="15" t="s">
        <v>177</v>
      </c>
      <c r="F79" s="16">
        <v>818.0</v>
      </c>
      <c r="G79" s="16">
        <v>30.0</v>
      </c>
      <c r="H79" s="16">
        <v>152.0</v>
      </c>
      <c r="I79" s="17">
        <v>4.07</v>
      </c>
      <c r="J79" s="18">
        <v>39.8</v>
      </c>
      <c r="K79" s="19">
        <v>0.03</v>
      </c>
      <c r="L79" s="18">
        <v>2.6</v>
      </c>
      <c r="M79" s="18">
        <v>5.2</v>
      </c>
      <c r="N79" s="19">
        <v>0.42</v>
      </c>
      <c r="O79" s="20">
        <v>1.5188</v>
      </c>
      <c r="P79" s="21">
        <f t="array" ref="P79">I79/MAX(IF($A$2:$A$146=A79,$I$2:$I$146))</f>
        <v>0.8752688172</v>
      </c>
      <c r="Q79" s="21">
        <f t="array" ref="Q79">J79/MAX(IF($A$2:$A$146=A79,$J$2:$J$146))</f>
        <v>0.752362949</v>
      </c>
      <c r="R79" s="21">
        <f t="array" ref="R79">K79/MAX(IF($A$2:$A$146=A79,$K$2:$K$146))</f>
        <v>0.6</v>
      </c>
      <c r="S79" s="21">
        <f t="array" ref="S79">L79/MAX(IF($A$2:$A$146=A79,$L$2:$L$146))</f>
        <v>0.08996539792</v>
      </c>
      <c r="T79" s="21">
        <f t="array" ref="T79">M79/MAX(IF($A$2:$A$146=A79,$M$2:$M$146))</f>
        <v>0.3151515152</v>
      </c>
      <c r="U79" s="21">
        <f t="array" ref="U79">N79/MAX(IF($A$2:$A$146=A79,$N$2:$N$146))</f>
        <v>0.6363636364</v>
      </c>
      <c r="V79" s="21">
        <f t="array" ref="V79">MIN(IF($A$2:$A$146=A79,$O$2:$O$146))/O79</f>
        <v>0.9718856992</v>
      </c>
    </row>
    <row r="80" ht="15.0" customHeight="1">
      <c r="A80" s="15" t="s">
        <v>32</v>
      </c>
      <c r="B80" s="15" t="s">
        <v>87</v>
      </c>
      <c r="C80" s="15" t="s">
        <v>28</v>
      </c>
      <c r="D80" s="15" t="s">
        <v>178</v>
      </c>
      <c r="E80" s="15" t="s">
        <v>179</v>
      </c>
      <c r="F80" s="16">
        <v>826.0</v>
      </c>
      <c r="G80" s="16">
        <v>23.0</v>
      </c>
      <c r="H80" s="16">
        <v>151.0</v>
      </c>
      <c r="I80" s="17">
        <v>4.04</v>
      </c>
      <c r="J80" s="18">
        <v>37.2</v>
      </c>
      <c r="K80" s="19">
        <v>0.03</v>
      </c>
      <c r="L80" s="18">
        <v>2.0</v>
      </c>
      <c r="M80" s="18">
        <v>4.1</v>
      </c>
      <c r="N80" s="19">
        <v>0.41</v>
      </c>
      <c r="O80" s="20">
        <v>1.51115</v>
      </c>
      <c r="P80" s="21">
        <f t="array" ref="P80">I80/MAX(IF($A$2:$A$146=A80,$I$2:$I$146))</f>
        <v>0.8801742919</v>
      </c>
      <c r="Q80" s="21">
        <f t="array" ref="Q80">J80/MAX(IF($A$2:$A$146=A80,$J$2:$J$146))</f>
        <v>0.3819301848</v>
      </c>
      <c r="R80" s="21">
        <f t="array" ref="R80">K80/MAX(IF($A$2:$A$146=A80,$K$2:$K$146))</f>
        <v>0.75</v>
      </c>
      <c r="S80" s="21">
        <f t="array" ref="S80">L80/MAX(IF($A$2:$A$146=A80,$L$2:$L$146))</f>
        <v>0.1156069364</v>
      </c>
      <c r="T80" s="21">
        <f t="array" ref="T80">M80/MAX(IF($A$2:$A$146=A80,$M$2:$M$146))</f>
        <v>0.2369942197</v>
      </c>
      <c r="U80" s="21">
        <f t="array" ref="U80">N80/MAX(IF($A$2:$A$146=A80,$N$2:$N$146))</f>
        <v>0.7592592593</v>
      </c>
      <c r="V80" s="21">
        <f t="array" ref="V80">MIN(IF($A$2:$A$146=A80,$O$2:$O$146))/O80</f>
        <v>0.9766733944</v>
      </c>
    </row>
    <row r="81" ht="15.0" customHeight="1">
      <c r="A81" s="15" t="s">
        <v>35</v>
      </c>
      <c r="B81" s="15" t="s">
        <v>87</v>
      </c>
      <c r="C81" s="15" t="s">
        <v>28</v>
      </c>
      <c r="D81" s="15" t="s">
        <v>180</v>
      </c>
      <c r="E81" s="15" t="s">
        <v>181</v>
      </c>
      <c r="F81" s="16">
        <v>834.0</v>
      </c>
      <c r="G81" s="16">
        <v>15.0</v>
      </c>
      <c r="H81" s="16">
        <v>151.0</v>
      </c>
      <c r="I81" s="17">
        <v>3.98</v>
      </c>
      <c r="J81" s="18">
        <v>37.0</v>
      </c>
      <c r="K81" s="19">
        <v>0.03</v>
      </c>
      <c r="L81" s="18">
        <v>3.8</v>
      </c>
      <c r="M81" s="18">
        <v>4.2</v>
      </c>
      <c r="N81" s="19">
        <v>0.34</v>
      </c>
      <c r="O81" s="20">
        <v>1.5126</v>
      </c>
      <c r="P81" s="21">
        <f t="array" ref="P81">I81/MAX(IF($A$2:$A$146=A81,$I$2:$I$146))</f>
        <v>0.9234338747</v>
      </c>
      <c r="Q81" s="21">
        <f t="array" ref="Q81">J81/MAX(IF($A$2:$A$146=A81,$J$2:$J$146))</f>
        <v>0.7429718876</v>
      </c>
      <c r="R81" s="21">
        <f t="array" ref="R81">K81/MAX(IF($A$2:$A$146=A81,$K$2:$K$146))</f>
        <v>0.75</v>
      </c>
      <c r="S81" s="21">
        <f t="array" ref="S81">L81/MAX(IF($A$2:$A$146=A81,$L$2:$L$146))</f>
        <v>0.6551724138</v>
      </c>
      <c r="T81" s="21">
        <f t="array" ref="T81">M81/MAX(IF($A$2:$A$146=A81,$M$2:$M$146))</f>
        <v>0.2692307692</v>
      </c>
      <c r="U81" s="21">
        <f t="array" ref="U81">N81/MAX(IF($A$2:$A$146=A81,$N$2:$N$146))</f>
        <v>0.693877551</v>
      </c>
      <c r="V81" s="21">
        <f t="array" ref="V81">MIN(IF($A$2:$A$146=A81,$O$2:$O$146))/O81</f>
        <v>0.9824143858</v>
      </c>
    </row>
    <row r="82" ht="15.0" customHeight="1">
      <c r="A82" s="15" t="s">
        <v>22</v>
      </c>
      <c r="B82" s="15" t="s">
        <v>87</v>
      </c>
      <c r="C82" s="15" t="s">
        <v>159</v>
      </c>
      <c r="D82" s="15" t="s">
        <v>159</v>
      </c>
      <c r="E82" s="15" t="s">
        <v>136</v>
      </c>
      <c r="F82" s="16">
        <v>877.0</v>
      </c>
      <c r="G82" s="16">
        <v>23.0</v>
      </c>
      <c r="H82" s="16">
        <v>101.0</v>
      </c>
      <c r="I82" s="17">
        <v>4.14</v>
      </c>
      <c r="J82" s="18">
        <v>51.5</v>
      </c>
      <c r="K82" s="19">
        <v>0.05</v>
      </c>
      <c r="L82" s="18">
        <v>4.4</v>
      </c>
      <c r="M82" s="18">
        <v>8.4</v>
      </c>
      <c r="N82" s="19">
        <v>0.75</v>
      </c>
      <c r="O82" s="20">
        <v>1.565</v>
      </c>
      <c r="P82" s="21">
        <f t="array" ref="P82">I82/MAX(IF($A$2:$A$146=A82,$I$2:$I$146))</f>
        <v>0.8296593186</v>
      </c>
      <c r="Q82" s="21">
        <f t="array" ref="Q82">J82/MAX(IF($A$2:$A$146=A82,$J$2:$J$146))</f>
        <v>0.6413449564</v>
      </c>
      <c r="R82" s="21">
        <f t="array" ref="R82">K82/MAX(IF($A$2:$A$146=A82,$K$2:$K$146))</f>
        <v>0.5</v>
      </c>
      <c r="S82" s="21">
        <f t="array" ref="S82">L82/MAX(IF($A$2:$A$146=A82,$L$2:$L$146))</f>
        <v>0.55</v>
      </c>
      <c r="T82" s="21">
        <f t="array" ref="T82">M82/MAX(IF($A$2:$A$146=A82,$M$2:$M$146))</f>
        <v>0.2406876791</v>
      </c>
      <c r="U82" s="21">
        <f t="array" ref="U82">N82/MAX(IF($A$2:$A$146=A82,$N$2:$N$146))</f>
        <v>0.5859375</v>
      </c>
      <c r="V82" s="21">
        <f t="array" ref="V82">MIN(IF($A$2:$A$146=A82,$O$2:$O$146))/O82</f>
        <v>0.9661022364</v>
      </c>
    </row>
    <row r="83" ht="15.0" customHeight="1">
      <c r="A83" s="15" t="s">
        <v>26</v>
      </c>
      <c r="B83" s="15" t="s">
        <v>87</v>
      </c>
      <c r="C83" s="15" t="s">
        <v>159</v>
      </c>
      <c r="D83" s="15" t="s">
        <v>182</v>
      </c>
      <c r="E83" s="15" t="s">
        <v>183</v>
      </c>
      <c r="F83" s="16">
        <v>849.0</v>
      </c>
      <c r="G83" s="16">
        <v>25.0</v>
      </c>
      <c r="H83" s="16">
        <v>126.0</v>
      </c>
      <c r="I83" s="17">
        <v>4.0</v>
      </c>
      <c r="J83" s="18">
        <v>41.4</v>
      </c>
      <c r="K83" s="19">
        <v>0.04</v>
      </c>
      <c r="L83" s="18">
        <v>1.1</v>
      </c>
      <c r="M83" s="18">
        <v>4.6</v>
      </c>
      <c r="N83" s="19">
        <v>0.49</v>
      </c>
      <c r="O83" s="20">
        <v>1.5266</v>
      </c>
      <c r="P83" s="21">
        <f t="array" ref="P83">I83/MAX(IF($A$2:$A$146=A83,$I$2:$I$146))</f>
        <v>0.8213552361</v>
      </c>
      <c r="Q83" s="21">
        <f t="array" ref="Q83">J83/MAX(IF($A$2:$A$146=A83,$J$2:$J$146))</f>
        <v>0.6581875994</v>
      </c>
      <c r="R83" s="21">
        <f t="array" ref="R83">K83/MAX(IF($A$2:$A$146=A83,$K$2:$K$146))</f>
        <v>0.5</v>
      </c>
      <c r="S83" s="21">
        <f t="array" ref="S83">L83/MAX(IF($A$2:$A$146=A83,$L$2:$L$146))</f>
        <v>0.1833333333</v>
      </c>
      <c r="T83" s="21">
        <f t="array" ref="T83">M83/MAX(IF($A$2:$A$146=A83,$M$2:$M$146))</f>
        <v>0.1885245902</v>
      </c>
      <c r="U83" s="21">
        <f t="array" ref="U83">N83/MAX(IF($A$2:$A$146=A83,$N$2:$N$146))</f>
        <v>0.4298245614</v>
      </c>
      <c r="V83" s="21">
        <f t="array" ref="V83">MIN(IF($A$2:$A$146=A83,$O$2:$O$146))/O83</f>
        <v>0.9786781082</v>
      </c>
    </row>
    <row r="84" ht="15.0" customHeight="1">
      <c r="A84" s="15" t="s">
        <v>29</v>
      </c>
      <c r="B84" s="15" t="s">
        <v>87</v>
      </c>
      <c r="C84" s="15" t="s">
        <v>159</v>
      </c>
      <c r="D84" s="15" t="s">
        <v>184</v>
      </c>
      <c r="E84" s="15" t="s">
        <v>88</v>
      </c>
      <c r="F84" s="16">
        <v>839.0</v>
      </c>
      <c r="G84" s="16">
        <v>35.0</v>
      </c>
      <c r="H84" s="16">
        <v>126.0</v>
      </c>
      <c r="I84" s="17">
        <v>3.93</v>
      </c>
      <c r="J84" s="18">
        <v>40.4</v>
      </c>
      <c r="K84" s="19">
        <v>0.03</v>
      </c>
      <c r="L84" s="18">
        <v>2.9</v>
      </c>
      <c r="M84" s="18">
        <v>3.2</v>
      </c>
      <c r="N84" s="19">
        <v>0.4</v>
      </c>
      <c r="O84" s="20">
        <v>1.517</v>
      </c>
      <c r="P84" s="21">
        <f t="array" ref="P84">I84/MAX(IF($A$2:$A$146=A84,$I$2:$I$146))</f>
        <v>0.8451612903</v>
      </c>
      <c r="Q84" s="21">
        <f t="array" ref="Q84">J84/MAX(IF($A$2:$A$146=A84,$J$2:$J$146))</f>
        <v>0.763705104</v>
      </c>
      <c r="R84" s="21">
        <f t="array" ref="R84">K84/MAX(IF($A$2:$A$146=A84,$K$2:$K$146))</f>
        <v>0.6</v>
      </c>
      <c r="S84" s="21">
        <f t="array" ref="S84">L84/MAX(IF($A$2:$A$146=A84,$L$2:$L$146))</f>
        <v>0.1003460208</v>
      </c>
      <c r="T84" s="21">
        <f t="array" ref="T84">M84/MAX(IF($A$2:$A$146=A84,$M$2:$M$146))</f>
        <v>0.1939393939</v>
      </c>
      <c r="U84" s="21">
        <f t="array" ref="U84">N84/MAX(IF($A$2:$A$146=A84,$N$2:$N$146))</f>
        <v>0.6060606061</v>
      </c>
      <c r="V84" s="21">
        <f t="array" ref="V84">MIN(IF($A$2:$A$146=A84,$O$2:$O$146))/O84</f>
        <v>0.9730388926</v>
      </c>
    </row>
    <row r="85" ht="15.0" customHeight="1">
      <c r="A85" s="15" t="s">
        <v>32</v>
      </c>
      <c r="B85" s="15" t="s">
        <v>87</v>
      </c>
      <c r="C85" s="15" t="s">
        <v>159</v>
      </c>
      <c r="D85" s="15" t="s">
        <v>185</v>
      </c>
      <c r="E85" s="15" t="s">
        <v>186</v>
      </c>
      <c r="F85" s="16">
        <v>831.0</v>
      </c>
      <c r="G85" s="16">
        <v>18.0</v>
      </c>
      <c r="H85" s="16">
        <v>151.0</v>
      </c>
      <c r="I85" s="17">
        <v>3.9</v>
      </c>
      <c r="J85" s="18">
        <v>38.7</v>
      </c>
      <c r="K85" s="19">
        <v>0.03</v>
      </c>
      <c r="L85" s="18">
        <v>0.9</v>
      </c>
      <c r="M85" s="18">
        <v>2.7</v>
      </c>
      <c r="N85" s="19">
        <v>0.4</v>
      </c>
      <c r="O85" s="20">
        <v>1.50075</v>
      </c>
      <c r="P85" s="21">
        <f t="array" ref="P85">I85/MAX(IF($A$2:$A$146=A85,$I$2:$I$146))</f>
        <v>0.8496732026</v>
      </c>
      <c r="Q85" s="21">
        <f t="array" ref="Q85">J85/MAX(IF($A$2:$A$146=A85,$J$2:$J$146))</f>
        <v>0.3973305955</v>
      </c>
      <c r="R85" s="21">
        <f t="array" ref="R85">K85/MAX(IF($A$2:$A$146=A85,$K$2:$K$146))</f>
        <v>0.75</v>
      </c>
      <c r="S85" s="21">
        <f t="array" ref="S85">L85/MAX(IF($A$2:$A$146=A85,$L$2:$L$146))</f>
        <v>0.05202312139</v>
      </c>
      <c r="T85" s="21">
        <f t="array" ref="T85">M85/MAX(IF($A$2:$A$146=A85,$M$2:$M$146))</f>
        <v>0.1560693642</v>
      </c>
      <c r="U85" s="21">
        <f t="array" ref="U85">N85/MAX(IF($A$2:$A$146=A85,$N$2:$N$146))</f>
        <v>0.7407407407</v>
      </c>
      <c r="V85" s="21">
        <f t="array" ref="V85">MIN(IF($A$2:$A$146=A85,$O$2:$O$146))/O85</f>
        <v>0.9834416125</v>
      </c>
    </row>
    <row r="86" ht="15.0" customHeight="1">
      <c r="A86" s="15" t="s">
        <v>35</v>
      </c>
      <c r="B86" s="15" t="s">
        <v>87</v>
      </c>
      <c r="C86" s="15" t="s">
        <v>159</v>
      </c>
      <c r="D86" s="15" t="s">
        <v>187</v>
      </c>
      <c r="E86" s="15" t="s">
        <v>188</v>
      </c>
      <c r="F86" s="16">
        <v>832.0</v>
      </c>
      <c r="G86" s="16">
        <v>17.0</v>
      </c>
      <c r="H86" s="16">
        <v>151.0</v>
      </c>
      <c r="I86" s="17">
        <v>3.98</v>
      </c>
      <c r="J86" s="18">
        <v>35.5</v>
      </c>
      <c r="K86" s="19">
        <v>0.02</v>
      </c>
      <c r="L86" s="18">
        <v>2.6</v>
      </c>
      <c r="M86" s="18">
        <v>2.4</v>
      </c>
      <c r="N86" s="19">
        <v>0.32</v>
      </c>
      <c r="O86" s="20">
        <v>1.4993</v>
      </c>
      <c r="P86" s="21">
        <f t="array" ref="P86">I86/MAX(IF($A$2:$A$146=A86,$I$2:$I$146))</f>
        <v>0.9234338747</v>
      </c>
      <c r="Q86" s="21">
        <f t="array" ref="Q86">J86/MAX(IF($A$2:$A$146=A86,$J$2:$J$146))</f>
        <v>0.7128514056</v>
      </c>
      <c r="R86" s="21">
        <f t="array" ref="R86">K86/MAX(IF($A$2:$A$146=A86,$K$2:$K$146))</f>
        <v>0.5</v>
      </c>
      <c r="S86" s="21">
        <f t="array" ref="S86">L86/MAX(IF($A$2:$A$146=A86,$L$2:$L$146))</f>
        <v>0.4482758621</v>
      </c>
      <c r="T86" s="21">
        <f t="array" ref="T86">M86/MAX(IF($A$2:$A$146=A86,$M$2:$M$146))</f>
        <v>0.1538461538</v>
      </c>
      <c r="U86" s="21">
        <f t="array" ref="U86">N86/MAX(IF($A$2:$A$146=A86,$N$2:$N$146))</f>
        <v>0.6530612245</v>
      </c>
      <c r="V86" s="21">
        <f t="array" ref="V86">MIN(IF($A$2:$A$146=A86,$O$2:$O$146))/O86</f>
        <v>0.9911291936</v>
      </c>
    </row>
    <row r="87" ht="15.0" customHeight="1">
      <c r="A87" s="15" t="s">
        <v>22</v>
      </c>
      <c r="B87" s="15" t="s">
        <v>87</v>
      </c>
      <c r="C87" s="15" t="s">
        <v>189</v>
      </c>
      <c r="D87" s="15" t="s">
        <v>189</v>
      </c>
      <c r="E87" s="15" t="s">
        <v>190</v>
      </c>
      <c r="F87" s="16">
        <v>956.0</v>
      </c>
      <c r="G87" s="16">
        <v>19.0</v>
      </c>
      <c r="H87" s="16">
        <v>25.0</v>
      </c>
      <c r="I87" s="17">
        <v>3.95</v>
      </c>
      <c r="J87" s="18">
        <v>48.4</v>
      </c>
      <c r="K87" s="19">
        <v>0.05</v>
      </c>
      <c r="L87" s="18">
        <v>4.2</v>
      </c>
      <c r="M87" s="18">
        <v>7.9</v>
      </c>
      <c r="N87" s="19">
        <v>0.64</v>
      </c>
      <c r="O87" s="20">
        <v>1.60035</v>
      </c>
      <c r="P87" s="21">
        <f t="array" ref="P87">I87/MAX(IF($A$2:$A$146=A87,$I$2:$I$146))</f>
        <v>0.7915831663</v>
      </c>
      <c r="Q87" s="21">
        <f t="array" ref="Q87">J87/MAX(IF($A$2:$A$146=A87,$J$2:$J$146))</f>
        <v>0.602739726</v>
      </c>
      <c r="R87" s="21">
        <f t="array" ref="R87">K87/MAX(IF($A$2:$A$146=A87,$K$2:$K$146))</f>
        <v>0.5</v>
      </c>
      <c r="S87" s="21">
        <f t="array" ref="S87">L87/MAX(IF($A$2:$A$146=A87,$L$2:$L$146))</f>
        <v>0.525</v>
      </c>
      <c r="T87" s="21">
        <f t="array" ref="T87">M87/MAX(IF($A$2:$A$146=A87,$M$2:$M$146))</f>
        <v>0.2263610315</v>
      </c>
      <c r="U87" s="21">
        <f t="array" ref="U87">N87/MAX(IF($A$2:$A$146=A87,$N$2:$N$146))</f>
        <v>0.5</v>
      </c>
      <c r="V87" s="21">
        <f t="array" ref="V87">MIN(IF($A$2:$A$146=A87,$O$2:$O$146))/O87</f>
        <v>0.9447620833</v>
      </c>
    </row>
    <row r="88" ht="15.0" customHeight="1">
      <c r="A88" s="15" t="s">
        <v>26</v>
      </c>
      <c r="B88" s="15" t="s">
        <v>87</v>
      </c>
      <c r="C88" s="15" t="s">
        <v>189</v>
      </c>
      <c r="D88" s="15" t="s">
        <v>191</v>
      </c>
      <c r="E88" s="15" t="s">
        <v>192</v>
      </c>
      <c r="F88" s="16">
        <v>848.0</v>
      </c>
      <c r="G88" s="16">
        <v>26.0</v>
      </c>
      <c r="H88" s="16">
        <v>126.0</v>
      </c>
      <c r="I88" s="17">
        <v>3.94</v>
      </c>
      <c r="J88" s="18">
        <v>41.9</v>
      </c>
      <c r="K88" s="19">
        <v>0.04</v>
      </c>
      <c r="L88" s="18">
        <v>4.0</v>
      </c>
      <c r="M88" s="18">
        <v>5.5</v>
      </c>
      <c r="N88" s="19">
        <v>0.58</v>
      </c>
      <c r="O88" s="20">
        <v>1.53245</v>
      </c>
      <c r="P88" s="21">
        <f t="array" ref="P88">I88/MAX(IF($A$2:$A$146=A88,$I$2:$I$146))</f>
        <v>0.8090349076</v>
      </c>
      <c r="Q88" s="21">
        <f t="array" ref="Q88">J88/MAX(IF($A$2:$A$146=A88,$J$2:$J$146))</f>
        <v>0.666136725</v>
      </c>
      <c r="R88" s="21">
        <f t="array" ref="R88">K88/MAX(IF($A$2:$A$146=A88,$K$2:$K$146))</f>
        <v>0.5</v>
      </c>
      <c r="S88" s="21">
        <f t="array" ref="S88">L88/MAX(IF($A$2:$A$146=A88,$L$2:$L$146))</f>
        <v>0.6666666667</v>
      </c>
      <c r="T88" s="21">
        <f t="array" ref="T88">M88/MAX(IF($A$2:$A$146=A88,$M$2:$M$146))</f>
        <v>0.2254098361</v>
      </c>
      <c r="U88" s="21">
        <f t="array" ref="U88">N88/MAX(IF($A$2:$A$146=A88,$N$2:$N$146))</f>
        <v>0.5087719298</v>
      </c>
      <c r="V88" s="21">
        <f t="array" ref="V88">MIN(IF($A$2:$A$146=A88,$O$2:$O$146))/O88</f>
        <v>0.9749420862</v>
      </c>
    </row>
    <row r="89" ht="15.0" customHeight="1">
      <c r="A89" s="15" t="s">
        <v>29</v>
      </c>
      <c r="B89" s="15" t="s">
        <v>87</v>
      </c>
      <c r="C89" s="15" t="s">
        <v>189</v>
      </c>
      <c r="D89" s="15" t="s">
        <v>193</v>
      </c>
      <c r="E89" s="15" t="s">
        <v>97</v>
      </c>
      <c r="F89" s="16">
        <v>819.0</v>
      </c>
      <c r="G89" s="16">
        <v>29.0</v>
      </c>
      <c r="H89" s="16">
        <v>152.0</v>
      </c>
      <c r="I89" s="17">
        <v>3.95</v>
      </c>
      <c r="J89" s="18">
        <v>46.4</v>
      </c>
      <c r="K89" s="19">
        <v>0.03</v>
      </c>
      <c r="L89" s="18">
        <v>2.0</v>
      </c>
      <c r="M89" s="18">
        <v>4.6</v>
      </c>
      <c r="N89" s="19">
        <v>0.45</v>
      </c>
      <c r="O89" s="20">
        <v>1.514</v>
      </c>
      <c r="P89" s="21">
        <f t="array" ref="P89">I89/MAX(IF($A$2:$A$146=A89,$I$2:$I$146))</f>
        <v>0.8494623656</v>
      </c>
      <c r="Q89" s="21">
        <f t="array" ref="Q89">J89/MAX(IF($A$2:$A$146=A89,$J$2:$J$146))</f>
        <v>0.8771266541</v>
      </c>
      <c r="R89" s="21">
        <f t="array" ref="R89">K89/MAX(IF($A$2:$A$146=A89,$K$2:$K$146))</f>
        <v>0.6</v>
      </c>
      <c r="S89" s="21">
        <f t="array" ref="S89">L89/MAX(IF($A$2:$A$146=A89,$L$2:$L$146))</f>
        <v>0.06920415225</v>
      </c>
      <c r="T89" s="21">
        <f t="array" ref="T89">M89/MAX(IF($A$2:$A$146=A89,$M$2:$M$146))</f>
        <v>0.2787878788</v>
      </c>
      <c r="U89" s="21">
        <f t="array" ref="U89">N89/MAX(IF($A$2:$A$146=A89,$N$2:$N$146))</f>
        <v>0.6818181818</v>
      </c>
      <c r="V89" s="21">
        <f t="array" ref="V89">MIN(IF($A$2:$A$146=A89,$O$2:$O$146))/O89</f>
        <v>0.9749669749</v>
      </c>
    </row>
    <row r="90" ht="15.0" customHeight="1">
      <c r="A90" s="15" t="s">
        <v>32</v>
      </c>
      <c r="B90" s="15" t="s">
        <v>87</v>
      </c>
      <c r="C90" s="15" t="s">
        <v>189</v>
      </c>
      <c r="D90" s="15" t="s">
        <v>194</v>
      </c>
      <c r="E90" s="15" t="s">
        <v>195</v>
      </c>
      <c r="F90" s="16">
        <v>814.0</v>
      </c>
      <c r="G90" s="16">
        <v>35.0</v>
      </c>
      <c r="H90" s="16">
        <v>151.0</v>
      </c>
      <c r="I90" s="17">
        <v>3.9</v>
      </c>
      <c r="J90" s="18">
        <v>47.7</v>
      </c>
      <c r="K90" s="19">
        <v>0.03</v>
      </c>
      <c r="L90" s="18">
        <v>0.9</v>
      </c>
      <c r="M90" s="18">
        <v>5.0</v>
      </c>
      <c r="N90" s="19">
        <v>0.4</v>
      </c>
      <c r="O90" s="20">
        <v>1.518</v>
      </c>
      <c r="P90" s="21">
        <f t="array" ref="P90">I90/MAX(IF($A$2:$A$146=A90,$I$2:$I$146))</f>
        <v>0.8496732026</v>
      </c>
      <c r="Q90" s="21">
        <f t="array" ref="Q90">J90/MAX(IF($A$2:$A$146=A90,$J$2:$J$146))</f>
        <v>0.4897330595</v>
      </c>
      <c r="R90" s="21">
        <f t="array" ref="R90">K90/MAX(IF($A$2:$A$146=A90,$K$2:$K$146))</f>
        <v>0.75</v>
      </c>
      <c r="S90" s="21">
        <f t="array" ref="S90">L90/MAX(IF($A$2:$A$146=A90,$L$2:$L$146))</f>
        <v>0.05202312139</v>
      </c>
      <c r="T90" s="21">
        <f t="array" ref="T90">M90/MAX(IF($A$2:$A$146=A90,$M$2:$M$146))</f>
        <v>0.289017341</v>
      </c>
      <c r="U90" s="21">
        <f t="array" ref="U90">N90/MAX(IF($A$2:$A$146=A90,$N$2:$N$146))</f>
        <v>0.7407407407</v>
      </c>
      <c r="V90" s="21">
        <f t="array" ref="V90">MIN(IF($A$2:$A$146=A90,$O$2:$O$146))/O90</f>
        <v>0.9722661397</v>
      </c>
    </row>
    <row r="91" ht="15.0" customHeight="1">
      <c r="A91" s="15" t="s">
        <v>35</v>
      </c>
      <c r="B91" s="15" t="s">
        <v>87</v>
      </c>
      <c r="C91" s="15" t="s">
        <v>189</v>
      </c>
      <c r="D91" s="15" t="s">
        <v>196</v>
      </c>
      <c r="E91" s="15" t="s">
        <v>197</v>
      </c>
      <c r="F91" s="16">
        <v>814.0</v>
      </c>
      <c r="G91" s="16">
        <v>32.0</v>
      </c>
      <c r="H91" s="16">
        <v>154.0</v>
      </c>
      <c r="I91" s="17">
        <v>3.85</v>
      </c>
      <c r="J91" s="18">
        <v>45.9</v>
      </c>
      <c r="K91" s="19">
        <v>0.02</v>
      </c>
      <c r="L91" s="18">
        <v>2.6</v>
      </c>
      <c r="M91" s="18">
        <v>2.8</v>
      </c>
      <c r="N91" s="19">
        <v>0.3</v>
      </c>
      <c r="O91" s="20">
        <v>1.501</v>
      </c>
      <c r="P91" s="21">
        <f t="array" ref="P91">I91/MAX(IF($A$2:$A$146=A91,$I$2:$I$146))</f>
        <v>0.8932714617</v>
      </c>
      <c r="Q91" s="21">
        <f t="array" ref="Q91">J91/MAX(IF($A$2:$A$146=A91,$J$2:$J$146))</f>
        <v>0.921686747</v>
      </c>
      <c r="R91" s="21">
        <f t="array" ref="R91">K91/MAX(IF($A$2:$A$146=A91,$K$2:$K$146))</f>
        <v>0.5</v>
      </c>
      <c r="S91" s="21">
        <f t="array" ref="S91">L91/MAX(IF($A$2:$A$146=A91,$L$2:$L$146))</f>
        <v>0.4482758621</v>
      </c>
      <c r="T91" s="21">
        <f t="array" ref="T91">M91/MAX(IF($A$2:$A$146=A91,$M$2:$M$146))</f>
        <v>0.1794871795</v>
      </c>
      <c r="U91" s="21">
        <f t="array" ref="U91">N91/MAX(IF($A$2:$A$146=A91,$N$2:$N$146))</f>
        <v>0.612244898</v>
      </c>
      <c r="V91" s="21">
        <f t="array" ref="V91">MIN(IF($A$2:$A$146=A91,$O$2:$O$146))/O91</f>
        <v>0.9900066622</v>
      </c>
    </row>
    <row r="92" ht="15.0" customHeight="1">
      <c r="A92" s="15" t="s">
        <v>22</v>
      </c>
      <c r="B92" s="15" t="s">
        <v>87</v>
      </c>
      <c r="C92" s="15" t="s">
        <v>198</v>
      </c>
      <c r="D92" s="15" t="s">
        <v>198</v>
      </c>
      <c r="E92" s="15" t="s">
        <v>199</v>
      </c>
      <c r="F92" s="16">
        <v>862.0</v>
      </c>
      <c r="G92" s="16">
        <v>12.0</v>
      </c>
      <c r="H92" s="16">
        <v>126.0</v>
      </c>
      <c r="I92" s="17">
        <v>4.07</v>
      </c>
      <c r="J92" s="18">
        <v>47.8</v>
      </c>
      <c r="K92" s="19">
        <v>0.05</v>
      </c>
      <c r="L92" s="18">
        <v>4.6</v>
      </c>
      <c r="M92" s="18">
        <v>4.7</v>
      </c>
      <c r="N92" s="19">
        <v>0.71</v>
      </c>
      <c r="O92" s="20">
        <v>1.52515</v>
      </c>
      <c r="P92" s="21">
        <f t="array" ref="P92">I92/MAX(IF($A$2:$A$146=A92,$I$2:$I$146))</f>
        <v>0.8156312625</v>
      </c>
      <c r="Q92" s="21">
        <f t="array" ref="Q92">J92/MAX(IF($A$2:$A$146=A92,$J$2:$J$146))</f>
        <v>0.595267746</v>
      </c>
      <c r="R92" s="21">
        <f t="array" ref="R92">K92/MAX(IF($A$2:$A$146=A92,$K$2:$K$146))</f>
        <v>0.5</v>
      </c>
      <c r="S92" s="21">
        <f t="array" ref="S92">L92/MAX(IF($A$2:$A$146=A92,$L$2:$L$146))</f>
        <v>0.575</v>
      </c>
      <c r="T92" s="21">
        <f t="array" ref="T92">M92/MAX(IF($A$2:$A$146=A92,$M$2:$M$146))</f>
        <v>0.1346704871</v>
      </c>
      <c r="U92" s="21">
        <f t="array" ref="U92">N92/MAX(IF($A$2:$A$146=A92,$N$2:$N$146))</f>
        <v>0.5546875</v>
      </c>
      <c r="V92" s="21">
        <f t="array" ref="V92">MIN(IF($A$2:$A$146=A92,$O$2:$O$146))/O92</f>
        <v>0.9913451136</v>
      </c>
    </row>
    <row r="93" ht="15.0" customHeight="1">
      <c r="A93" s="15" t="s">
        <v>26</v>
      </c>
      <c r="B93" s="15" t="s">
        <v>87</v>
      </c>
      <c r="C93" s="15" t="s">
        <v>198</v>
      </c>
      <c r="D93" s="15" t="s">
        <v>200</v>
      </c>
      <c r="E93" s="15" t="s">
        <v>201</v>
      </c>
      <c r="F93" s="16">
        <v>861.0</v>
      </c>
      <c r="G93" s="16">
        <v>38.0</v>
      </c>
      <c r="H93" s="16">
        <v>100.0</v>
      </c>
      <c r="I93" s="17">
        <v>3.98</v>
      </c>
      <c r="J93" s="18">
        <v>45.6</v>
      </c>
      <c r="K93" s="19">
        <v>0.04</v>
      </c>
      <c r="L93" s="18">
        <v>4.4</v>
      </c>
      <c r="M93" s="18">
        <v>3.4</v>
      </c>
      <c r="N93" s="19">
        <v>0.54</v>
      </c>
      <c r="O93" s="20">
        <v>1.5301</v>
      </c>
      <c r="P93" s="21">
        <f t="array" ref="P93">I93/MAX(IF($A$2:$A$146=A93,$I$2:$I$146))</f>
        <v>0.81724846</v>
      </c>
      <c r="Q93" s="21">
        <f t="array" ref="Q93">J93/MAX(IF($A$2:$A$146=A93,$J$2:$J$146))</f>
        <v>0.7249602544</v>
      </c>
      <c r="R93" s="21">
        <f t="array" ref="R93">K93/MAX(IF($A$2:$A$146=A93,$K$2:$K$146))</f>
        <v>0.5</v>
      </c>
      <c r="S93" s="21">
        <f t="array" ref="S93">L93/MAX(IF($A$2:$A$146=A93,$L$2:$L$146))</f>
        <v>0.7333333333</v>
      </c>
      <c r="T93" s="21">
        <f t="array" ref="T93">M93/MAX(IF($A$2:$A$146=A93,$M$2:$M$146))</f>
        <v>0.1393442623</v>
      </c>
      <c r="U93" s="21">
        <f t="array" ref="U93">N93/MAX(IF($A$2:$A$146=A93,$N$2:$N$146))</f>
        <v>0.4736842105</v>
      </c>
      <c r="V93" s="21">
        <f t="array" ref="V93">MIN(IF($A$2:$A$146=A93,$O$2:$O$146))/O93</f>
        <v>0.9764394484</v>
      </c>
    </row>
    <row r="94" ht="15.0" customHeight="1">
      <c r="A94" s="15" t="s">
        <v>29</v>
      </c>
      <c r="B94" s="15" t="s">
        <v>87</v>
      </c>
      <c r="C94" s="15" t="s">
        <v>198</v>
      </c>
      <c r="D94" s="15" t="s">
        <v>202</v>
      </c>
      <c r="E94" s="15" t="s">
        <v>203</v>
      </c>
      <c r="F94" s="16">
        <v>902.0</v>
      </c>
      <c r="G94" s="16">
        <v>22.0</v>
      </c>
      <c r="H94" s="16">
        <v>76.0</v>
      </c>
      <c r="I94" s="17">
        <v>3.97</v>
      </c>
      <c r="J94" s="18">
        <v>42.3</v>
      </c>
      <c r="K94" s="19">
        <v>0.03</v>
      </c>
      <c r="L94" s="18">
        <v>2.9</v>
      </c>
      <c r="M94" s="18">
        <v>2.3</v>
      </c>
      <c r="N94" s="19">
        <v>0.47</v>
      </c>
      <c r="O94" s="20">
        <v>1.53455</v>
      </c>
      <c r="P94" s="21">
        <f t="array" ref="P94">I94/MAX(IF($A$2:$A$146=A94,$I$2:$I$146))</f>
        <v>0.8537634409</v>
      </c>
      <c r="Q94" s="21">
        <f t="array" ref="Q94">J94/MAX(IF($A$2:$A$146=A94,$J$2:$J$146))</f>
        <v>0.7996219282</v>
      </c>
      <c r="R94" s="21">
        <f t="array" ref="R94">K94/MAX(IF($A$2:$A$146=A94,$K$2:$K$146))</f>
        <v>0.6</v>
      </c>
      <c r="S94" s="21">
        <f t="array" ref="S94">L94/MAX(IF($A$2:$A$146=A94,$L$2:$L$146))</f>
        <v>0.1003460208</v>
      </c>
      <c r="T94" s="21">
        <f t="array" ref="T94">M94/MAX(IF($A$2:$A$146=A94,$M$2:$M$146))</f>
        <v>0.1393939394</v>
      </c>
      <c r="U94" s="21">
        <f t="array" ref="U94">N94/MAX(IF($A$2:$A$146=A94,$N$2:$N$146))</f>
        <v>0.7121212121</v>
      </c>
      <c r="V94" s="21">
        <f t="array" ref="V94">MIN(IF($A$2:$A$146=A94,$O$2:$O$146))/O94</f>
        <v>0.9619106578</v>
      </c>
    </row>
    <row r="95" ht="15.0" customHeight="1">
      <c r="A95" s="15" t="s">
        <v>32</v>
      </c>
      <c r="B95" s="15" t="s">
        <v>87</v>
      </c>
      <c r="C95" s="15" t="s">
        <v>198</v>
      </c>
      <c r="D95" s="15" t="s">
        <v>204</v>
      </c>
      <c r="E95" s="15" t="s">
        <v>205</v>
      </c>
      <c r="F95" s="16">
        <v>829.0</v>
      </c>
      <c r="G95" s="16">
        <v>20.0</v>
      </c>
      <c r="H95" s="16">
        <v>151.0</v>
      </c>
      <c r="I95" s="17">
        <v>3.97</v>
      </c>
      <c r="J95" s="18">
        <v>40.9</v>
      </c>
      <c r="K95" s="19">
        <v>0.03</v>
      </c>
      <c r="L95" s="18">
        <v>0.9</v>
      </c>
      <c r="M95" s="18">
        <v>2.5</v>
      </c>
      <c r="N95" s="19">
        <v>0.42</v>
      </c>
      <c r="O95" s="20">
        <v>1.49905</v>
      </c>
      <c r="P95" s="21">
        <f t="array" ref="P95">I95/MAX(IF($A$2:$A$146=A95,$I$2:$I$146))</f>
        <v>0.8649237473</v>
      </c>
      <c r="Q95" s="21">
        <f t="array" ref="Q95">J95/MAX(IF($A$2:$A$146=A95,$J$2:$J$146))</f>
        <v>0.4199178645</v>
      </c>
      <c r="R95" s="21">
        <f t="array" ref="R95">K95/MAX(IF($A$2:$A$146=A95,$K$2:$K$146))</f>
        <v>0.75</v>
      </c>
      <c r="S95" s="21">
        <f t="array" ref="S95">L95/MAX(IF($A$2:$A$146=A95,$L$2:$L$146))</f>
        <v>0.05202312139</v>
      </c>
      <c r="T95" s="21">
        <f t="array" ref="T95">M95/MAX(IF($A$2:$A$146=A95,$M$2:$M$146))</f>
        <v>0.1445086705</v>
      </c>
      <c r="U95" s="21">
        <f t="array" ref="U95">N95/MAX(IF($A$2:$A$146=A95,$N$2:$N$146))</f>
        <v>0.7777777778</v>
      </c>
      <c r="V95" s="21">
        <f t="array" ref="V95">MIN(IF($A$2:$A$146=A95,$O$2:$O$146))/O95</f>
        <v>0.984556886</v>
      </c>
    </row>
    <row r="96" ht="15.0" customHeight="1">
      <c r="A96" s="15" t="s">
        <v>35</v>
      </c>
      <c r="B96" s="15" t="s">
        <v>87</v>
      </c>
      <c r="C96" s="15" t="s">
        <v>198</v>
      </c>
      <c r="D96" s="15" t="s">
        <v>206</v>
      </c>
      <c r="E96" s="15" t="s">
        <v>207</v>
      </c>
      <c r="F96" s="16">
        <v>820.0</v>
      </c>
      <c r="G96" s="16">
        <v>29.0</v>
      </c>
      <c r="H96" s="16">
        <v>151.0</v>
      </c>
      <c r="I96" s="17">
        <v>3.98</v>
      </c>
      <c r="J96" s="18">
        <v>37.6</v>
      </c>
      <c r="K96" s="19">
        <v>0.03</v>
      </c>
      <c r="L96" s="18">
        <v>2.9</v>
      </c>
      <c r="M96" s="18">
        <v>1.6</v>
      </c>
      <c r="N96" s="19">
        <v>0.41</v>
      </c>
      <c r="O96" s="20">
        <v>1.4924</v>
      </c>
      <c r="P96" s="21">
        <f t="array" ref="P96">I96/MAX(IF($A$2:$A$146=A96,$I$2:$I$146))</f>
        <v>0.9234338747</v>
      </c>
      <c r="Q96" s="21">
        <f t="array" ref="Q96">J96/MAX(IF($A$2:$A$146=A96,$J$2:$J$146))</f>
        <v>0.7550200803</v>
      </c>
      <c r="R96" s="21">
        <f t="array" ref="R96">K96/MAX(IF($A$2:$A$146=A96,$K$2:$K$146))</f>
        <v>0.75</v>
      </c>
      <c r="S96" s="21">
        <f t="array" ref="S96">L96/MAX(IF($A$2:$A$146=A96,$L$2:$L$146))</f>
        <v>0.5</v>
      </c>
      <c r="T96" s="21">
        <f t="array" ref="T96">M96/MAX(IF($A$2:$A$146=A96,$M$2:$M$146))</f>
        <v>0.1025641026</v>
      </c>
      <c r="U96" s="21">
        <f t="array" ref="U96">N96/MAX(IF($A$2:$A$146=A96,$N$2:$N$146))</f>
        <v>0.8367346939</v>
      </c>
      <c r="V96" s="21">
        <f t="array" ref="V96">MIN(IF($A$2:$A$146=A96,$O$2:$O$146))/O96</f>
        <v>0.9957116055</v>
      </c>
    </row>
    <row r="97" ht="15.0" customHeight="1">
      <c r="A97" s="15" t="s">
        <v>22</v>
      </c>
      <c r="B97" s="15" t="s">
        <v>87</v>
      </c>
      <c r="C97" s="15" t="s">
        <v>168</v>
      </c>
      <c r="D97" s="15" t="s">
        <v>168</v>
      </c>
      <c r="E97" s="15" t="s">
        <v>208</v>
      </c>
      <c r="F97" s="16">
        <v>886.0</v>
      </c>
      <c r="G97" s="16">
        <v>13.0</v>
      </c>
      <c r="H97" s="16">
        <v>101.0</v>
      </c>
      <c r="I97" s="17">
        <v>3.64</v>
      </c>
      <c r="J97" s="18">
        <v>63.0</v>
      </c>
      <c r="K97" s="19">
        <v>0.05</v>
      </c>
      <c r="L97" s="18">
        <v>4.2</v>
      </c>
      <c r="M97" s="18">
        <v>1.3</v>
      </c>
      <c r="N97" s="19">
        <v>0.73</v>
      </c>
      <c r="O97" s="12">
        <v>1.51195</v>
      </c>
      <c r="P97" s="21">
        <f t="array" ref="P97">I97/MAX(IF($A$2:$A$146=A97,$I$2:$I$146))</f>
        <v>0.7294589178</v>
      </c>
      <c r="Q97" s="21">
        <f t="array" ref="Q97">J97/MAX(IF($A$2:$A$146=A97,$J$2:$J$146))</f>
        <v>0.7845579078</v>
      </c>
      <c r="R97" s="21">
        <f t="array" ref="R97">K97/MAX(IF($A$2:$A$146=A97,$K$2:$K$146))</f>
        <v>0.5</v>
      </c>
      <c r="S97" s="21">
        <f t="array" ref="S97">L97/MAX(IF($A$2:$A$146=A97,$L$2:$L$146))</f>
        <v>0.525</v>
      </c>
      <c r="T97" s="21">
        <f t="array" ref="T97">M97/MAX(IF($A$2:$A$146=A97,$M$2:$M$146))</f>
        <v>0.03724928367</v>
      </c>
      <c r="U97" s="21">
        <f t="array" ref="U97">N97/MAX(IF($A$2:$A$146=A97,$N$2:$N$146))</f>
        <v>0.5703125</v>
      </c>
      <c r="V97" s="21">
        <f t="array" ref="V97">MIN(IF($A$2:$A$146=A97,$O$2:$O$146))/O97</f>
        <v>1</v>
      </c>
    </row>
    <row r="98" ht="15.0" customHeight="1">
      <c r="A98" s="15" t="s">
        <v>26</v>
      </c>
      <c r="B98" s="15" t="s">
        <v>87</v>
      </c>
      <c r="C98" s="15" t="s">
        <v>168</v>
      </c>
      <c r="D98" s="15" t="s">
        <v>209</v>
      </c>
      <c r="E98" s="15" t="s">
        <v>48</v>
      </c>
      <c r="F98" s="16">
        <v>837.0</v>
      </c>
      <c r="G98" s="16">
        <v>37.0</v>
      </c>
      <c r="H98" s="16">
        <v>126.0</v>
      </c>
      <c r="I98" s="17">
        <v>3.78</v>
      </c>
      <c r="J98" s="18">
        <v>49.3</v>
      </c>
      <c r="K98" s="19">
        <v>0.03</v>
      </c>
      <c r="L98" s="18">
        <v>4.2</v>
      </c>
      <c r="M98" s="18">
        <v>1.4</v>
      </c>
      <c r="N98" s="19">
        <v>0.44</v>
      </c>
      <c r="O98" s="20">
        <v>1.5031</v>
      </c>
      <c r="P98" s="21">
        <f t="array" ref="P98">I98/MAX(IF($A$2:$A$146=A98,$I$2:$I$146))</f>
        <v>0.7761806982</v>
      </c>
      <c r="Q98" s="21">
        <f t="array" ref="Q98">J98/MAX(IF($A$2:$A$146=A98,$J$2:$J$146))</f>
        <v>0.7837837838</v>
      </c>
      <c r="R98" s="21">
        <f t="array" ref="R98">K98/MAX(IF($A$2:$A$146=A98,$K$2:$K$146))</f>
        <v>0.375</v>
      </c>
      <c r="S98" s="21">
        <f t="array" ref="S98">L98/MAX(IF($A$2:$A$146=A98,$L$2:$L$146))</f>
        <v>0.7</v>
      </c>
      <c r="T98" s="21">
        <f t="array" ref="T98">M98/MAX(IF($A$2:$A$146=A98,$M$2:$M$146))</f>
        <v>0.05737704918</v>
      </c>
      <c r="U98" s="21">
        <f t="array" ref="U98">N98/MAX(IF($A$2:$A$146=A98,$N$2:$N$146))</f>
        <v>0.3859649123</v>
      </c>
      <c r="V98" s="21">
        <f t="array" ref="V98">MIN(IF($A$2:$A$146=A98,$O$2:$O$146))/O98</f>
        <v>0.9939791098</v>
      </c>
    </row>
    <row r="99" ht="15.0" customHeight="1">
      <c r="A99" s="15" t="s">
        <v>29</v>
      </c>
      <c r="B99" s="15" t="s">
        <v>87</v>
      </c>
      <c r="C99" s="15" t="s">
        <v>168</v>
      </c>
      <c r="D99" s="15" t="s">
        <v>210</v>
      </c>
      <c r="E99" s="15" t="s">
        <v>211</v>
      </c>
      <c r="F99" s="16">
        <v>818.0</v>
      </c>
      <c r="G99" s="16">
        <v>31.0</v>
      </c>
      <c r="H99" s="16">
        <v>151.0</v>
      </c>
      <c r="I99" s="17">
        <v>3.84</v>
      </c>
      <c r="J99" s="18">
        <v>38.1</v>
      </c>
      <c r="K99" s="19">
        <v>0.02</v>
      </c>
      <c r="L99" s="18">
        <v>2.4</v>
      </c>
      <c r="M99" s="18">
        <v>0.5</v>
      </c>
      <c r="N99" s="19">
        <v>0.35</v>
      </c>
      <c r="O99" s="20">
        <v>1.48475</v>
      </c>
      <c r="P99" s="21">
        <f t="array" ref="P99">I99/MAX(IF($A$2:$A$146=A99,$I$2:$I$146))</f>
        <v>0.8258064516</v>
      </c>
      <c r="Q99" s="21">
        <f t="array" ref="Q99">J99/MAX(IF($A$2:$A$146=A99,$J$2:$J$146))</f>
        <v>0.7202268431</v>
      </c>
      <c r="R99" s="21">
        <f t="array" ref="R99">K99/MAX(IF($A$2:$A$146=A99,$K$2:$K$146))</f>
        <v>0.4</v>
      </c>
      <c r="S99" s="21">
        <f t="array" ref="S99">L99/MAX(IF($A$2:$A$146=A99,$L$2:$L$146))</f>
        <v>0.0830449827</v>
      </c>
      <c r="T99" s="21">
        <f t="array" ref="T99">M99/MAX(IF($A$2:$A$146=A99,$M$2:$M$146))</f>
        <v>0.0303030303</v>
      </c>
      <c r="U99" s="21">
        <f t="array" ref="U99">N99/MAX(IF($A$2:$A$146=A99,$N$2:$N$146))</f>
        <v>0.5303030303</v>
      </c>
      <c r="V99" s="21">
        <f t="array" ref="V99">MIN(IF($A$2:$A$146=A99,$O$2:$O$146))/O99</f>
        <v>0.9941741034</v>
      </c>
    </row>
    <row r="100" ht="15.0" customHeight="1">
      <c r="A100" s="15" t="s">
        <v>32</v>
      </c>
      <c r="B100" s="15" t="s">
        <v>87</v>
      </c>
      <c r="C100" s="15" t="s">
        <v>168</v>
      </c>
      <c r="D100" s="15" t="s">
        <v>212</v>
      </c>
      <c r="E100" s="15" t="s">
        <v>213</v>
      </c>
      <c r="F100" s="16">
        <v>816.0</v>
      </c>
      <c r="G100" s="16">
        <v>33.0</v>
      </c>
      <c r="H100" s="16">
        <v>151.0</v>
      </c>
      <c r="I100" s="17">
        <v>3.89</v>
      </c>
      <c r="J100" s="18">
        <v>33.2</v>
      </c>
      <c r="K100" s="19">
        <v>0.02</v>
      </c>
      <c r="L100" s="18">
        <v>0.9</v>
      </c>
      <c r="M100" s="18">
        <v>0.8</v>
      </c>
      <c r="N100" s="19">
        <v>0.28</v>
      </c>
      <c r="O100" s="20">
        <v>1.4877</v>
      </c>
      <c r="P100" s="21">
        <f t="array" ref="P100">I100/MAX(IF($A$2:$A$146=A100,$I$2:$I$146))</f>
        <v>0.8474945534</v>
      </c>
      <c r="Q100" s="21">
        <f t="array" ref="Q100">J100/MAX(IF($A$2:$A$146=A100,$J$2:$J$146))</f>
        <v>0.340862423</v>
      </c>
      <c r="R100" s="21">
        <f t="array" ref="R100">K100/MAX(IF($A$2:$A$146=A100,$K$2:$K$146))</f>
        <v>0.5</v>
      </c>
      <c r="S100" s="21">
        <f t="array" ref="S100">L100/MAX(IF($A$2:$A$146=A100,$L$2:$L$146))</f>
        <v>0.05202312139</v>
      </c>
      <c r="T100" s="21">
        <f t="array" ref="T100">M100/MAX(IF($A$2:$A$146=A100,$M$2:$M$146))</f>
        <v>0.04624277457</v>
      </c>
      <c r="U100" s="21">
        <f t="array" ref="U100">N100/MAX(IF($A$2:$A$146=A100,$N$2:$N$146))</f>
        <v>0.5185185185</v>
      </c>
      <c r="V100" s="21">
        <f t="array" ref="V100">MIN(IF($A$2:$A$146=A100,$O$2:$O$146))/O100</f>
        <v>0.9920682933</v>
      </c>
    </row>
    <row r="101" ht="15.0" customHeight="1">
      <c r="A101" s="15" t="s">
        <v>35</v>
      </c>
      <c r="B101" s="15" t="s">
        <v>87</v>
      </c>
      <c r="C101" s="15" t="s">
        <v>168</v>
      </c>
      <c r="D101" s="15" t="s">
        <v>214</v>
      </c>
      <c r="E101" s="15" t="s">
        <v>215</v>
      </c>
      <c r="F101" s="16">
        <v>813.0</v>
      </c>
      <c r="G101" s="16">
        <v>36.0</v>
      </c>
      <c r="H101" s="16">
        <v>151.0</v>
      </c>
      <c r="I101" s="17">
        <v>3.95</v>
      </c>
      <c r="J101" s="18">
        <v>32.6</v>
      </c>
      <c r="K101" s="19">
        <v>0.02</v>
      </c>
      <c r="L101" s="18">
        <v>2.0</v>
      </c>
      <c r="M101" s="18">
        <v>0.8</v>
      </c>
      <c r="N101" s="19">
        <v>0.23</v>
      </c>
      <c r="O101" s="20">
        <v>1.4882</v>
      </c>
      <c r="P101" s="21">
        <f t="array" ref="P101">I101/MAX(IF($A$2:$A$146=A101,$I$2:$I$146))</f>
        <v>0.9164733179</v>
      </c>
      <c r="Q101" s="21">
        <f t="array" ref="Q101">J101/MAX(IF($A$2:$A$146=A101,$J$2:$J$146))</f>
        <v>0.6546184739</v>
      </c>
      <c r="R101" s="21">
        <f t="array" ref="R101">K101/MAX(IF($A$2:$A$146=A101,$K$2:$K$146))</f>
        <v>0.5</v>
      </c>
      <c r="S101" s="21">
        <f t="array" ref="S101">L101/MAX(IF($A$2:$A$146=A101,$L$2:$L$146))</f>
        <v>0.3448275862</v>
      </c>
      <c r="T101" s="21">
        <f t="array" ref="T101">M101/MAX(IF($A$2:$A$146=A101,$M$2:$M$146))</f>
        <v>0.05128205128</v>
      </c>
      <c r="U101" s="21">
        <f t="array" ref="U101">N101/MAX(IF($A$2:$A$146=A101,$N$2:$N$146))</f>
        <v>0.4693877551</v>
      </c>
      <c r="V101" s="21">
        <f t="array" ref="V101">MIN(IF($A$2:$A$146=A101,$O$2:$O$146))/O101</f>
        <v>0.9985217041</v>
      </c>
    </row>
    <row r="102" ht="15.0" customHeight="1">
      <c r="A102" s="22" t="s">
        <v>22</v>
      </c>
      <c r="B102" s="22" t="s">
        <v>216</v>
      </c>
      <c r="C102" s="22" t="s">
        <v>217</v>
      </c>
      <c r="D102" s="22" t="s">
        <v>217</v>
      </c>
      <c r="E102" s="22" t="s">
        <v>218</v>
      </c>
      <c r="F102" s="23">
        <v>938.0</v>
      </c>
      <c r="G102" s="23">
        <v>12.0</v>
      </c>
      <c r="H102" s="23">
        <v>50.0</v>
      </c>
      <c r="I102" s="24">
        <v>4.04</v>
      </c>
      <c r="J102" s="25">
        <v>41.1</v>
      </c>
      <c r="K102" s="26">
        <v>0.05</v>
      </c>
      <c r="L102" s="25">
        <v>4.9</v>
      </c>
      <c r="M102" s="25">
        <v>3.5</v>
      </c>
      <c r="N102" s="26">
        <v>0.64</v>
      </c>
      <c r="O102" s="27">
        <v>1.55485</v>
      </c>
      <c r="P102" s="28">
        <f t="array" ref="P102">I102/MAX(IF($A$2:$A$146=A102,$I$2:$I$146))</f>
        <v>0.8096192385</v>
      </c>
      <c r="Q102" s="28">
        <f t="array" ref="Q102">J102/MAX(IF($A$2:$A$146=A102,$J$2:$J$146))</f>
        <v>0.5118306351</v>
      </c>
      <c r="R102" s="28">
        <f t="array" ref="R102">K102/MAX(IF($A$2:$A$146=A102,$K$2:$K$146))</f>
        <v>0.5</v>
      </c>
      <c r="S102" s="28">
        <f t="array" ref="S102">L102/MAX(IF($A$2:$A$146=A102,$L$2:$L$146))</f>
        <v>0.6125</v>
      </c>
      <c r="T102" s="28">
        <f t="array" ref="T102">M102/MAX(IF($A$2:$A$146=A102,$M$2:$M$146))</f>
        <v>0.100286533</v>
      </c>
      <c r="U102" s="28">
        <f t="array" ref="U102">N102/MAX(IF($A$2:$A$146=A102,$N$2:$N$146))</f>
        <v>0.5</v>
      </c>
      <c r="V102" s="28">
        <f t="array" ref="V102">MIN(IF($A$2:$A$146=A102,$O$2:$O$146))/O102</f>
        <v>0.972408914</v>
      </c>
    </row>
    <row r="103" ht="15.0" customHeight="1">
      <c r="A103" s="22" t="s">
        <v>26</v>
      </c>
      <c r="B103" s="22" t="s">
        <v>216</v>
      </c>
      <c r="C103" s="22" t="s">
        <v>217</v>
      </c>
      <c r="D103" s="22" t="s">
        <v>219</v>
      </c>
      <c r="E103" s="22" t="s">
        <v>220</v>
      </c>
      <c r="F103" s="23">
        <v>924.0</v>
      </c>
      <c r="G103" s="23">
        <v>26.0</v>
      </c>
      <c r="H103" s="23">
        <v>50.0</v>
      </c>
      <c r="I103" s="24">
        <v>4.07</v>
      </c>
      <c r="J103" s="25">
        <v>25.3</v>
      </c>
      <c r="K103" s="26">
        <v>0.02</v>
      </c>
      <c r="L103" s="25">
        <v>1.8</v>
      </c>
      <c r="M103" s="25">
        <v>1.7</v>
      </c>
      <c r="N103" s="26">
        <v>0.3</v>
      </c>
      <c r="O103" s="27">
        <v>1.54475</v>
      </c>
      <c r="P103" s="28">
        <f t="array" ref="P103">I103/MAX(IF($A$2:$A$146=A103,$I$2:$I$146))</f>
        <v>0.8357289528</v>
      </c>
      <c r="Q103" s="28">
        <f t="array" ref="Q103">J103/MAX(IF($A$2:$A$146=A103,$J$2:$J$146))</f>
        <v>0.4022257552</v>
      </c>
      <c r="R103" s="28">
        <f t="array" ref="R103">K103/MAX(IF($A$2:$A$146=A103,$K$2:$K$146))</f>
        <v>0.25</v>
      </c>
      <c r="S103" s="28">
        <f t="array" ref="S103">L103/MAX(IF($A$2:$A$146=A103,$L$2:$L$146))</f>
        <v>0.3</v>
      </c>
      <c r="T103" s="28">
        <f t="array" ref="T103">M103/MAX(IF($A$2:$A$146=A103,$M$2:$M$146))</f>
        <v>0.06967213115</v>
      </c>
      <c r="U103" s="28">
        <f t="array" ref="U103">N103/MAX(IF($A$2:$A$146=A103,$N$2:$N$146))</f>
        <v>0.2631578947</v>
      </c>
      <c r="V103" s="28">
        <f t="array" ref="V103">MIN(IF($A$2:$A$146=A103,$O$2:$O$146))/O103</f>
        <v>0.9671791552</v>
      </c>
    </row>
    <row r="104" ht="15.0" customHeight="1">
      <c r="A104" s="22" t="s">
        <v>29</v>
      </c>
      <c r="B104" s="22" t="s">
        <v>216</v>
      </c>
      <c r="C104" s="22" t="s">
        <v>217</v>
      </c>
      <c r="D104" s="22" t="s">
        <v>221</v>
      </c>
      <c r="E104" s="22" t="s">
        <v>222</v>
      </c>
      <c r="F104" s="23">
        <v>918.0</v>
      </c>
      <c r="G104" s="23">
        <v>19.0</v>
      </c>
      <c r="H104" s="23">
        <v>63.0</v>
      </c>
      <c r="I104" s="24">
        <v>4.1</v>
      </c>
      <c r="J104" s="25">
        <v>17.0</v>
      </c>
      <c r="K104" s="26">
        <v>0.01</v>
      </c>
      <c r="L104" s="25">
        <v>3.3</v>
      </c>
      <c r="M104" s="25">
        <v>1.0</v>
      </c>
      <c r="N104" s="26">
        <v>0.15</v>
      </c>
      <c r="O104" s="27">
        <v>1.5345</v>
      </c>
      <c r="P104" s="28">
        <f t="array" ref="P104">I104/MAX(IF($A$2:$A$146=A104,$I$2:$I$146))</f>
        <v>0.8817204301</v>
      </c>
      <c r="Q104" s="28">
        <f t="array" ref="Q104">J104/MAX(IF($A$2:$A$146=A104,$J$2:$J$146))</f>
        <v>0.3213610586</v>
      </c>
      <c r="R104" s="28">
        <f t="array" ref="R104">K104/MAX(IF($A$2:$A$146=A104,$K$2:$K$146))</f>
        <v>0.2</v>
      </c>
      <c r="S104" s="28">
        <f t="array" ref="S104">L104/MAX(IF($A$2:$A$146=A104,$L$2:$L$146))</f>
        <v>0.1141868512</v>
      </c>
      <c r="T104" s="28">
        <f t="array" ref="T104">M104/MAX(IF($A$2:$A$146=A104,$M$2:$M$146))</f>
        <v>0.06060606061</v>
      </c>
      <c r="U104" s="28">
        <f t="array" ref="U104">N104/MAX(IF($A$2:$A$146=A104,$N$2:$N$146))</f>
        <v>0.2272727273</v>
      </c>
      <c r="V104" s="28">
        <f t="array" ref="V104">MIN(IF($A$2:$A$146=A104,$O$2:$O$146))/O104</f>
        <v>0.9619420007</v>
      </c>
    </row>
    <row r="105" ht="15.0" customHeight="1">
      <c r="A105" s="22" t="s">
        <v>32</v>
      </c>
      <c r="B105" s="22" t="s">
        <v>216</v>
      </c>
      <c r="C105" s="22" t="s">
        <v>217</v>
      </c>
      <c r="D105" s="22" t="s">
        <v>223</v>
      </c>
      <c r="E105" s="22" t="s">
        <v>224</v>
      </c>
      <c r="F105" s="23">
        <v>934.0</v>
      </c>
      <c r="G105" s="23">
        <v>16.0</v>
      </c>
      <c r="H105" s="23">
        <v>50.0</v>
      </c>
      <c r="I105" s="24">
        <v>4.15</v>
      </c>
      <c r="J105" s="25">
        <v>13.2</v>
      </c>
      <c r="K105" s="26">
        <v>0.01</v>
      </c>
      <c r="L105" s="25">
        <v>5.5</v>
      </c>
      <c r="M105" s="25">
        <v>1.2</v>
      </c>
      <c r="N105" s="26">
        <v>0.09</v>
      </c>
      <c r="O105" s="27">
        <v>1.5431</v>
      </c>
      <c r="P105" s="28">
        <f t="array" ref="P105">I105/MAX(IF($A$2:$A$146=A105,$I$2:$I$146))</f>
        <v>0.9041394336</v>
      </c>
      <c r="Q105" s="28">
        <f t="array" ref="Q105">J105/MAX(IF($A$2:$A$146=A105,$J$2:$J$146))</f>
        <v>0.135523614</v>
      </c>
      <c r="R105" s="28">
        <f t="array" ref="R105">K105/MAX(IF($A$2:$A$146=A105,$K$2:$K$146))</f>
        <v>0.25</v>
      </c>
      <c r="S105" s="28">
        <f t="array" ref="S105">L105/MAX(IF($A$2:$A$146=A105,$L$2:$L$146))</f>
        <v>0.3179190751</v>
      </c>
      <c r="T105" s="28">
        <f t="array" ref="T105">M105/MAX(IF($A$2:$A$146=A105,$M$2:$M$146))</f>
        <v>0.06936416185</v>
      </c>
      <c r="U105" s="28">
        <f t="array" ref="U105">N105/MAX(IF($A$2:$A$146=A105,$N$2:$N$146))</f>
        <v>0.1666666667</v>
      </c>
      <c r="V105" s="28">
        <f t="array" ref="V105">MIN(IF($A$2:$A$146=A105,$O$2:$O$146))/O105</f>
        <v>0.9564512993</v>
      </c>
    </row>
    <row r="106" ht="15.0" customHeight="1">
      <c r="A106" s="22" t="s">
        <v>35</v>
      </c>
      <c r="B106" s="22" t="s">
        <v>216</v>
      </c>
      <c r="C106" s="22" t="s">
        <v>217</v>
      </c>
      <c r="D106" s="22" t="s">
        <v>225</v>
      </c>
      <c r="E106" s="22" t="s">
        <v>226</v>
      </c>
      <c r="F106" s="23">
        <v>902.0</v>
      </c>
      <c r="G106" s="23">
        <v>23.0</v>
      </c>
      <c r="H106" s="23">
        <v>75.0</v>
      </c>
      <c r="I106" s="24">
        <v>4.3</v>
      </c>
      <c r="J106" s="25">
        <v>18.2</v>
      </c>
      <c r="K106" s="26">
        <v>0.01</v>
      </c>
      <c r="L106" s="25">
        <v>0.9</v>
      </c>
      <c r="M106" s="25">
        <v>6.5</v>
      </c>
      <c r="N106" s="26">
        <v>0.06</v>
      </c>
      <c r="O106" s="27">
        <v>1.57065</v>
      </c>
      <c r="P106" s="28">
        <f t="array" ref="P106">I106/MAX(IF($A$2:$A$146=A106,$I$2:$I$146))</f>
        <v>0.9976798144</v>
      </c>
      <c r="Q106" s="28">
        <f t="array" ref="Q106">J106/MAX(IF($A$2:$A$146=A106,$J$2:$J$146))</f>
        <v>0.3654618474</v>
      </c>
      <c r="R106" s="28">
        <f t="array" ref="R106">K106/MAX(IF($A$2:$A$146=A106,$K$2:$K$146))</f>
        <v>0.25</v>
      </c>
      <c r="S106" s="28">
        <f t="array" ref="S106">L106/MAX(IF($A$2:$A$146=A106,$L$2:$L$146))</f>
        <v>0.1551724138</v>
      </c>
      <c r="T106" s="28">
        <f t="array" ref="T106">M106/MAX(IF($A$2:$A$146=A106,$M$2:$M$146))</f>
        <v>0.4166666667</v>
      </c>
      <c r="U106" s="28">
        <f t="array" ref="U106">N106/MAX(IF($A$2:$A$146=A106,$N$2:$N$146))</f>
        <v>0.1224489796</v>
      </c>
      <c r="V106" s="28">
        <f t="array" ref="V106">MIN(IF($A$2:$A$146=A106,$O$2:$O$146))/O106</f>
        <v>0.9461051157</v>
      </c>
    </row>
    <row r="107" ht="15.0" customHeight="1">
      <c r="A107" s="22" t="s">
        <v>22</v>
      </c>
      <c r="B107" s="22" t="s">
        <v>216</v>
      </c>
      <c r="C107" s="22" t="s">
        <v>110</v>
      </c>
      <c r="D107" s="22" t="s">
        <v>110</v>
      </c>
      <c r="E107" s="22" t="s">
        <v>227</v>
      </c>
      <c r="F107" s="23">
        <v>864.0</v>
      </c>
      <c r="G107" s="23">
        <v>10.0</v>
      </c>
      <c r="H107" s="23">
        <v>126.0</v>
      </c>
      <c r="I107" s="24">
        <v>4.1</v>
      </c>
      <c r="J107" s="10">
        <v>80.3</v>
      </c>
      <c r="K107" s="26">
        <v>0.07</v>
      </c>
      <c r="L107" s="25">
        <v>5.3</v>
      </c>
      <c r="M107" s="25">
        <v>12.5</v>
      </c>
      <c r="N107" s="26">
        <v>1.02</v>
      </c>
      <c r="O107" s="27">
        <v>1.58055</v>
      </c>
      <c r="P107" s="28">
        <f t="array" ref="P107">I107/MAX(IF($A$2:$A$146=A107,$I$2:$I$146))</f>
        <v>0.8216432866</v>
      </c>
      <c r="Q107" s="28">
        <f t="array" ref="Q107">J107/MAX(IF($A$2:$A$146=A107,$J$2:$J$146))</f>
        <v>1</v>
      </c>
      <c r="R107" s="28">
        <f t="array" ref="R107">K107/MAX(IF($A$2:$A$146=A107,$K$2:$K$146))</f>
        <v>0.7</v>
      </c>
      <c r="S107" s="28">
        <f t="array" ref="S107">L107/MAX(IF($A$2:$A$146=A107,$L$2:$L$146))</f>
        <v>0.6625</v>
      </c>
      <c r="T107" s="28">
        <f t="array" ref="T107">M107/MAX(IF($A$2:$A$146=A107,$M$2:$M$146))</f>
        <v>0.3581661891</v>
      </c>
      <c r="U107" s="28">
        <f t="array" ref="U107">N107/MAX(IF($A$2:$A$146=A107,$N$2:$N$146))</f>
        <v>0.796875</v>
      </c>
      <c r="V107" s="28">
        <f t="array" ref="V107">MIN(IF($A$2:$A$146=A107,$O$2:$O$146))/O107</f>
        <v>0.956597387</v>
      </c>
    </row>
    <row r="108" ht="15.0" customHeight="1">
      <c r="A108" s="22" t="s">
        <v>26</v>
      </c>
      <c r="B108" s="22" t="s">
        <v>216</v>
      </c>
      <c r="C108" s="22" t="s">
        <v>110</v>
      </c>
      <c r="D108" s="22" t="s">
        <v>228</v>
      </c>
      <c r="E108" s="22" t="s">
        <v>229</v>
      </c>
      <c r="F108" s="23">
        <v>909.0</v>
      </c>
      <c r="G108" s="23">
        <v>16.0</v>
      </c>
      <c r="H108" s="23">
        <v>75.0</v>
      </c>
      <c r="I108" s="24">
        <v>4.11</v>
      </c>
      <c r="J108" s="25">
        <v>42.5</v>
      </c>
      <c r="K108" s="26">
        <v>0.03</v>
      </c>
      <c r="L108" s="25">
        <v>2.6</v>
      </c>
      <c r="M108" s="25">
        <v>10.1</v>
      </c>
      <c r="N108" s="26">
        <v>0.43</v>
      </c>
      <c r="O108" s="27">
        <v>1.59395</v>
      </c>
      <c r="P108" s="28">
        <f t="array" ref="P108">I108/MAX(IF($A$2:$A$146=A108,$I$2:$I$146))</f>
        <v>0.8439425051</v>
      </c>
      <c r="Q108" s="28">
        <f t="array" ref="Q108">J108/MAX(IF($A$2:$A$146=A108,$J$2:$J$146))</f>
        <v>0.6756756757</v>
      </c>
      <c r="R108" s="28">
        <f t="array" ref="R108">K108/MAX(IF($A$2:$A$146=A108,$K$2:$K$146))</f>
        <v>0.375</v>
      </c>
      <c r="S108" s="28">
        <f t="array" ref="S108">L108/MAX(IF($A$2:$A$146=A108,$L$2:$L$146))</f>
        <v>0.4333333333</v>
      </c>
      <c r="T108" s="28">
        <f t="array" ref="T108">M108/MAX(IF($A$2:$A$146=A108,$M$2:$M$146))</f>
        <v>0.4139344262</v>
      </c>
      <c r="U108" s="28">
        <f t="array" ref="U108">N108/MAX(IF($A$2:$A$146=A108,$N$2:$N$146))</f>
        <v>0.3771929825</v>
      </c>
      <c r="V108" s="28">
        <f t="array" ref="V108">MIN(IF($A$2:$A$146=A108,$O$2:$O$146))/O108</f>
        <v>0.9373255121</v>
      </c>
    </row>
    <row r="109" ht="15.0" customHeight="1">
      <c r="A109" s="22" t="s">
        <v>29</v>
      </c>
      <c r="B109" s="22" t="s">
        <v>216</v>
      </c>
      <c r="C109" s="22" t="s">
        <v>110</v>
      </c>
      <c r="D109" s="22" t="s">
        <v>230</v>
      </c>
      <c r="E109" s="22" t="s">
        <v>231</v>
      </c>
      <c r="F109" s="23">
        <v>906.0</v>
      </c>
      <c r="G109" s="23">
        <v>19.0</v>
      </c>
      <c r="H109" s="23">
        <v>75.0</v>
      </c>
      <c r="I109" s="24">
        <v>4.21</v>
      </c>
      <c r="J109" s="25">
        <v>19.2</v>
      </c>
      <c r="K109" s="26">
        <v>0.01</v>
      </c>
      <c r="L109" s="25">
        <v>3.3</v>
      </c>
      <c r="M109" s="25">
        <v>3.0</v>
      </c>
      <c r="N109" s="26">
        <v>0.16</v>
      </c>
      <c r="O109" s="27">
        <v>1.5434</v>
      </c>
      <c r="P109" s="28">
        <f t="array" ref="P109">I109/MAX(IF($A$2:$A$146=A109,$I$2:$I$146))</f>
        <v>0.9053763441</v>
      </c>
      <c r="Q109" s="28">
        <f t="array" ref="Q109">J109/MAX(IF($A$2:$A$146=A109,$J$2:$J$146))</f>
        <v>0.3629489603</v>
      </c>
      <c r="R109" s="28">
        <f t="array" ref="R109">K109/MAX(IF($A$2:$A$146=A109,$K$2:$K$146))</f>
        <v>0.2</v>
      </c>
      <c r="S109" s="28">
        <f t="array" ref="S109">L109/MAX(IF($A$2:$A$146=A109,$L$2:$L$146))</f>
        <v>0.1141868512</v>
      </c>
      <c r="T109" s="28">
        <f t="array" ref="T109">M109/MAX(IF($A$2:$A$146=A109,$M$2:$M$146))</f>
        <v>0.1818181818</v>
      </c>
      <c r="U109" s="28">
        <f t="array" ref="U109">N109/MAX(IF($A$2:$A$146=A109,$N$2:$N$146))</f>
        <v>0.2424242424</v>
      </c>
      <c r="V109" s="28">
        <f t="array" ref="V109">MIN(IF($A$2:$A$146=A109,$O$2:$O$146))/O109</f>
        <v>0.9563949721</v>
      </c>
    </row>
    <row r="110" ht="15.0" customHeight="1">
      <c r="A110" s="22" t="s">
        <v>32</v>
      </c>
      <c r="B110" s="22" t="s">
        <v>216</v>
      </c>
      <c r="C110" s="22" t="s">
        <v>110</v>
      </c>
      <c r="D110" s="22" t="s">
        <v>232</v>
      </c>
      <c r="E110" s="22" t="s">
        <v>233</v>
      </c>
      <c r="F110" s="23">
        <v>917.0</v>
      </c>
      <c r="G110" s="23">
        <v>20.0</v>
      </c>
      <c r="H110" s="23">
        <v>62.0</v>
      </c>
      <c r="I110" s="24">
        <v>4.2</v>
      </c>
      <c r="J110" s="25">
        <v>14.7</v>
      </c>
      <c r="K110" s="26">
        <v>0.01</v>
      </c>
      <c r="L110" s="25">
        <v>6.6</v>
      </c>
      <c r="M110" s="25">
        <v>2.3</v>
      </c>
      <c r="N110" s="26">
        <v>0.12</v>
      </c>
      <c r="O110" s="27">
        <v>1.54505</v>
      </c>
      <c r="P110" s="28">
        <f t="array" ref="P110">I110/MAX(IF($A$2:$A$146=A110,$I$2:$I$146))</f>
        <v>0.9150326797</v>
      </c>
      <c r="Q110" s="28">
        <f t="array" ref="Q110">J110/MAX(IF($A$2:$A$146=A110,$J$2:$J$146))</f>
        <v>0.1509240246</v>
      </c>
      <c r="R110" s="28">
        <f t="array" ref="R110">K110/MAX(IF($A$2:$A$146=A110,$K$2:$K$146))</f>
        <v>0.25</v>
      </c>
      <c r="S110" s="28">
        <f t="array" ref="S110">L110/MAX(IF($A$2:$A$146=A110,$L$2:$L$146))</f>
        <v>0.3815028902</v>
      </c>
      <c r="T110" s="28">
        <f t="array" ref="T110">M110/MAX(IF($A$2:$A$146=A110,$M$2:$M$146))</f>
        <v>0.1329479769</v>
      </c>
      <c r="U110" s="28">
        <f t="array" ref="U110">N110/MAX(IF($A$2:$A$146=A110,$N$2:$N$146))</f>
        <v>0.2222222222</v>
      </c>
      <c r="V110" s="28">
        <f t="array" ref="V110">MIN(IF($A$2:$A$146=A110,$O$2:$O$146))/O110</f>
        <v>0.9552441669</v>
      </c>
    </row>
    <row r="111" ht="15.0" customHeight="1">
      <c r="A111" s="22" t="s">
        <v>35</v>
      </c>
      <c r="B111" s="22" t="s">
        <v>216</v>
      </c>
      <c r="C111" s="22" t="s">
        <v>110</v>
      </c>
      <c r="D111" s="22" t="s">
        <v>234</v>
      </c>
      <c r="E111" s="22" t="s">
        <v>235</v>
      </c>
      <c r="F111" s="23">
        <v>899.0</v>
      </c>
      <c r="G111" s="23">
        <v>26.0</v>
      </c>
      <c r="H111" s="23">
        <v>75.0</v>
      </c>
      <c r="I111" s="14">
        <v>4.31</v>
      </c>
      <c r="J111" s="25">
        <v>13.5</v>
      </c>
      <c r="K111" s="26">
        <v>0.0</v>
      </c>
      <c r="L111" s="25">
        <v>0.9</v>
      </c>
      <c r="M111" s="25">
        <v>2.5</v>
      </c>
      <c r="N111" s="26">
        <v>0.06</v>
      </c>
      <c r="O111" s="27">
        <v>1.54065</v>
      </c>
      <c r="P111" s="28">
        <f t="array" ref="P111">I111/MAX(IF($A$2:$A$146=A111,$I$2:$I$146))</f>
        <v>1</v>
      </c>
      <c r="Q111" s="28">
        <f t="array" ref="Q111">J111/MAX(IF($A$2:$A$146=A111,$J$2:$J$146))</f>
        <v>0.2710843373</v>
      </c>
      <c r="R111" s="28">
        <f t="array" ref="R111">K111/MAX(IF($A$2:$A$146=A111,$K$2:$K$146))</f>
        <v>0</v>
      </c>
      <c r="S111" s="28">
        <f t="array" ref="S111">L111/MAX(IF($A$2:$A$146=A111,$L$2:$L$146))</f>
        <v>0.1551724138</v>
      </c>
      <c r="T111" s="28">
        <f t="array" ref="T111">M111/MAX(IF($A$2:$A$146=A111,$M$2:$M$146))</f>
        <v>0.1602564103</v>
      </c>
      <c r="U111" s="28">
        <f t="array" ref="U111">N111/MAX(IF($A$2:$A$146=A111,$N$2:$N$146))</f>
        <v>0.1224489796</v>
      </c>
      <c r="V111" s="28">
        <f t="array" ref="V111">MIN(IF($A$2:$A$146=A111,$O$2:$O$146))/O111</f>
        <v>0.964527959</v>
      </c>
    </row>
    <row r="112" ht="15.0" customHeight="1">
      <c r="A112" s="22" t="s">
        <v>22</v>
      </c>
      <c r="B112" s="22" t="s">
        <v>216</v>
      </c>
      <c r="C112" s="22" t="s">
        <v>120</v>
      </c>
      <c r="D112" s="22" t="s">
        <v>120</v>
      </c>
      <c r="E112" s="22" t="s">
        <v>236</v>
      </c>
      <c r="F112" s="23">
        <v>877.0</v>
      </c>
      <c r="G112" s="23">
        <v>22.0</v>
      </c>
      <c r="H112" s="23">
        <v>101.0</v>
      </c>
      <c r="I112" s="24">
        <v>4.13</v>
      </c>
      <c r="J112" s="25">
        <v>51.1</v>
      </c>
      <c r="K112" s="26">
        <v>0.05</v>
      </c>
      <c r="L112" s="25">
        <v>3.1</v>
      </c>
      <c r="M112" s="25">
        <v>7.5</v>
      </c>
      <c r="N112" s="26">
        <v>0.73</v>
      </c>
      <c r="O112" s="27">
        <v>1.55845</v>
      </c>
      <c r="P112" s="28">
        <f t="array" ref="P112">I112/MAX(IF($A$2:$A$146=A112,$I$2:$I$146))</f>
        <v>0.8276553106</v>
      </c>
      <c r="Q112" s="28">
        <f t="array" ref="Q112">J112/MAX(IF($A$2:$A$146=A112,$J$2:$J$146))</f>
        <v>0.6363636364</v>
      </c>
      <c r="R112" s="28">
        <f t="array" ref="R112">K112/MAX(IF($A$2:$A$146=A112,$K$2:$K$146))</f>
        <v>0.5</v>
      </c>
      <c r="S112" s="28">
        <f t="array" ref="S112">L112/MAX(IF($A$2:$A$146=A112,$L$2:$L$146))</f>
        <v>0.3875</v>
      </c>
      <c r="T112" s="28">
        <f t="array" ref="T112">M112/MAX(IF($A$2:$A$146=A112,$M$2:$M$146))</f>
        <v>0.2148997135</v>
      </c>
      <c r="U112" s="28">
        <f t="array" ref="U112">N112/MAX(IF($A$2:$A$146=A112,$N$2:$N$146))</f>
        <v>0.5703125</v>
      </c>
      <c r="V112" s="28">
        <f t="array" ref="V112">MIN(IF($A$2:$A$146=A112,$O$2:$O$146))/O112</f>
        <v>0.9701626616</v>
      </c>
    </row>
    <row r="113" ht="15.0" customHeight="1">
      <c r="A113" s="22" t="s">
        <v>26</v>
      </c>
      <c r="B113" s="22" t="s">
        <v>216</v>
      </c>
      <c r="C113" s="22" t="s">
        <v>120</v>
      </c>
      <c r="D113" s="22" t="s">
        <v>237</v>
      </c>
      <c r="E113" s="22" t="s">
        <v>238</v>
      </c>
      <c r="F113" s="23">
        <v>865.0</v>
      </c>
      <c r="G113" s="23">
        <v>35.0</v>
      </c>
      <c r="H113" s="23">
        <v>100.0</v>
      </c>
      <c r="I113" s="24">
        <v>4.0</v>
      </c>
      <c r="J113" s="25">
        <v>45.6</v>
      </c>
      <c r="K113" s="26">
        <v>0.04</v>
      </c>
      <c r="L113" s="25">
        <v>4.2</v>
      </c>
      <c r="M113" s="25">
        <v>6.0</v>
      </c>
      <c r="N113" s="26">
        <v>0.54</v>
      </c>
      <c r="O113" s="27">
        <v>1.5496</v>
      </c>
      <c r="P113" s="28">
        <f t="array" ref="P113">I113/MAX(IF($A$2:$A$146=A113,$I$2:$I$146))</f>
        <v>0.8213552361</v>
      </c>
      <c r="Q113" s="28">
        <f t="array" ref="Q113">J113/MAX(IF($A$2:$A$146=A113,$J$2:$J$146))</f>
        <v>0.7249602544</v>
      </c>
      <c r="R113" s="28">
        <f t="array" ref="R113">K113/MAX(IF($A$2:$A$146=A113,$K$2:$K$146))</f>
        <v>0.5</v>
      </c>
      <c r="S113" s="28">
        <f t="array" ref="S113">L113/MAX(IF($A$2:$A$146=A113,$L$2:$L$146))</f>
        <v>0.7</v>
      </c>
      <c r="T113" s="28">
        <f t="array" ref="T113">M113/MAX(IF($A$2:$A$146=A113,$M$2:$M$146))</f>
        <v>0.2459016393</v>
      </c>
      <c r="U113" s="28">
        <f t="array" ref="U113">N113/MAX(IF($A$2:$A$146=A113,$N$2:$N$146))</f>
        <v>0.4736842105</v>
      </c>
      <c r="V113" s="28">
        <f t="array" ref="V113">MIN(IF($A$2:$A$146=A113,$O$2:$O$146))/O113</f>
        <v>0.9641520392</v>
      </c>
    </row>
    <row r="114" ht="15.0" customHeight="1">
      <c r="A114" s="22" t="s">
        <v>29</v>
      </c>
      <c r="B114" s="22" t="s">
        <v>216</v>
      </c>
      <c r="C114" s="22" t="s">
        <v>120</v>
      </c>
      <c r="D114" s="22" t="s">
        <v>239</v>
      </c>
      <c r="E114" s="22" t="s">
        <v>240</v>
      </c>
      <c r="F114" s="23">
        <v>797.0</v>
      </c>
      <c r="G114" s="23">
        <v>27.0</v>
      </c>
      <c r="H114" s="23">
        <v>177.0</v>
      </c>
      <c r="I114" s="24">
        <v>3.86</v>
      </c>
      <c r="J114" s="25">
        <v>42.2</v>
      </c>
      <c r="K114" s="26">
        <v>0.03</v>
      </c>
      <c r="L114" s="25">
        <v>3.5</v>
      </c>
      <c r="M114" s="25">
        <v>2.6</v>
      </c>
      <c r="N114" s="26">
        <v>0.39</v>
      </c>
      <c r="O114" s="27">
        <v>1.4871</v>
      </c>
      <c r="P114" s="28">
        <f t="array" ref="P114">I114/MAX(IF($A$2:$A$146=A114,$I$2:$I$146))</f>
        <v>0.8301075269</v>
      </c>
      <c r="Q114" s="28">
        <f t="array" ref="Q114">J114/MAX(IF($A$2:$A$146=A114,$J$2:$J$146))</f>
        <v>0.797731569</v>
      </c>
      <c r="R114" s="28">
        <f t="array" ref="R114">K114/MAX(IF($A$2:$A$146=A114,$K$2:$K$146))</f>
        <v>0.6</v>
      </c>
      <c r="S114" s="28">
        <f t="array" ref="S114">L114/MAX(IF($A$2:$A$146=A114,$L$2:$L$146))</f>
        <v>0.1211072664</v>
      </c>
      <c r="T114" s="28">
        <f t="array" ref="T114">M114/MAX(IF($A$2:$A$146=A114,$M$2:$M$146))</f>
        <v>0.1575757576</v>
      </c>
      <c r="U114" s="28">
        <f t="array" ref="U114">N114/MAX(IF($A$2:$A$146=A114,$N$2:$N$146))</f>
        <v>0.5909090909</v>
      </c>
      <c r="V114" s="28">
        <f t="array" ref="V114">MIN(IF($A$2:$A$146=A114,$O$2:$O$146))/O114</f>
        <v>0.9926030529</v>
      </c>
    </row>
    <row r="115" ht="15.0" customHeight="1">
      <c r="A115" s="22" t="s">
        <v>32</v>
      </c>
      <c r="B115" s="22" t="s">
        <v>216</v>
      </c>
      <c r="C115" s="22" t="s">
        <v>120</v>
      </c>
      <c r="D115" s="22" t="s">
        <v>241</v>
      </c>
      <c r="E115" s="22" t="s">
        <v>242</v>
      </c>
      <c r="F115" s="23">
        <v>829.0</v>
      </c>
      <c r="G115" s="23">
        <v>20.0</v>
      </c>
      <c r="H115" s="23">
        <v>151.0</v>
      </c>
      <c r="I115" s="24">
        <v>3.94</v>
      </c>
      <c r="J115" s="25">
        <v>31.8</v>
      </c>
      <c r="K115" s="26">
        <v>0.02</v>
      </c>
      <c r="L115" s="25">
        <v>6.2</v>
      </c>
      <c r="M115" s="25">
        <v>1.4</v>
      </c>
      <c r="N115" s="26">
        <v>0.22</v>
      </c>
      <c r="O115" s="27">
        <v>1.4928</v>
      </c>
      <c r="P115" s="28">
        <f t="array" ref="P115">I115/MAX(IF($A$2:$A$146=A115,$I$2:$I$146))</f>
        <v>0.8583877996</v>
      </c>
      <c r="Q115" s="28">
        <f t="array" ref="Q115">J115/MAX(IF($A$2:$A$146=A115,$J$2:$J$146))</f>
        <v>0.3264887064</v>
      </c>
      <c r="R115" s="28">
        <f t="array" ref="R115">K115/MAX(IF($A$2:$A$146=A115,$K$2:$K$146))</f>
        <v>0.5</v>
      </c>
      <c r="S115" s="28">
        <f t="array" ref="S115">L115/MAX(IF($A$2:$A$146=A115,$L$2:$L$146))</f>
        <v>0.3583815029</v>
      </c>
      <c r="T115" s="28">
        <f t="array" ref="T115">M115/MAX(IF($A$2:$A$146=A115,$M$2:$M$146))</f>
        <v>0.08092485549</v>
      </c>
      <c r="U115" s="28">
        <f t="array" ref="U115">N115/MAX(IF($A$2:$A$146=A115,$N$2:$N$146))</f>
        <v>0.4074074074</v>
      </c>
      <c r="V115" s="28">
        <f t="array" ref="V115">MIN(IF($A$2:$A$146=A115,$O$2:$O$146))/O115</f>
        <v>0.9886789925</v>
      </c>
    </row>
    <row r="116" ht="15.0" customHeight="1">
      <c r="A116" s="22" t="s">
        <v>35</v>
      </c>
      <c r="B116" s="22" t="s">
        <v>216</v>
      </c>
      <c r="C116" s="22" t="s">
        <v>120</v>
      </c>
      <c r="D116" s="22" t="s">
        <v>243</v>
      </c>
      <c r="E116" s="22" t="s">
        <v>244</v>
      </c>
      <c r="F116" s="23">
        <v>828.0</v>
      </c>
      <c r="G116" s="23">
        <v>21.0</v>
      </c>
      <c r="H116" s="23">
        <v>151.0</v>
      </c>
      <c r="I116" s="24">
        <v>3.94</v>
      </c>
      <c r="J116" s="25">
        <v>32.0</v>
      </c>
      <c r="K116" s="26">
        <v>0.02</v>
      </c>
      <c r="L116" s="25">
        <v>0.9</v>
      </c>
      <c r="M116" s="25">
        <v>1.6</v>
      </c>
      <c r="N116" s="26">
        <v>0.21</v>
      </c>
      <c r="O116" s="27">
        <v>1.4944</v>
      </c>
      <c r="P116" s="28">
        <f t="array" ref="P116">I116/MAX(IF($A$2:$A$146=A116,$I$2:$I$146))</f>
        <v>0.9141531323</v>
      </c>
      <c r="Q116" s="28">
        <f t="array" ref="Q116">J116/MAX(IF($A$2:$A$146=A116,$J$2:$J$146))</f>
        <v>0.6425702811</v>
      </c>
      <c r="R116" s="28">
        <f t="array" ref="R116">K116/MAX(IF($A$2:$A$146=A116,$K$2:$K$146))</f>
        <v>0.5</v>
      </c>
      <c r="S116" s="28">
        <f t="array" ref="S116">L116/MAX(IF($A$2:$A$146=A116,$L$2:$L$146))</f>
        <v>0.1551724138</v>
      </c>
      <c r="T116" s="28">
        <f t="array" ref="T116">M116/MAX(IF($A$2:$A$146=A116,$M$2:$M$146))</f>
        <v>0.1025641026</v>
      </c>
      <c r="U116" s="28">
        <f t="array" ref="U116">N116/MAX(IF($A$2:$A$146=A116,$N$2:$N$146))</f>
        <v>0.4285714286</v>
      </c>
      <c r="V116" s="28">
        <f t="array" ref="V116">MIN(IF($A$2:$A$146=A116,$O$2:$O$146))/O116</f>
        <v>0.994379015</v>
      </c>
    </row>
    <row r="117" ht="15.0" customHeight="1">
      <c r="A117" s="22" t="s">
        <v>22</v>
      </c>
      <c r="B117" s="22" t="s">
        <v>216</v>
      </c>
      <c r="C117" s="22" t="s">
        <v>238</v>
      </c>
      <c r="D117" s="22" t="s">
        <v>238</v>
      </c>
      <c r="E117" s="22" t="s">
        <v>245</v>
      </c>
      <c r="F117" s="23">
        <v>899.0</v>
      </c>
      <c r="G117" s="23">
        <v>26.0</v>
      </c>
      <c r="H117" s="23">
        <v>75.0</v>
      </c>
      <c r="I117" s="24">
        <v>4.21</v>
      </c>
      <c r="J117" s="25">
        <v>32.4</v>
      </c>
      <c r="K117" s="26">
        <v>0.04</v>
      </c>
      <c r="L117" s="25">
        <v>3.5</v>
      </c>
      <c r="M117" s="25">
        <v>6.9</v>
      </c>
      <c r="N117" s="26">
        <v>0.43</v>
      </c>
      <c r="O117" s="27">
        <v>1.56995</v>
      </c>
      <c r="P117" s="28">
        <f t="array" ref="P117">I117/MAX(IF($A$2:$A$146=A117,$I$2:$I$146))</f>
        <v>0.8436873747</v>
      </c>
      <c r="Q117" s="28">
        <f t="array" ref="Q117">J117/MAX(IF($A$2:$A$146=A117,$J$2:$J$146))</f>
        <v>0.403486924</v>
      </c>
      <c r="R117" s="28">
        <f t="array" ref="R117">K117/MAX(IF($A$2:$A$146=A117,$K$2:$K$146))</f>
        <v>0.4</v>
      </c>
      <c r="S117" s="28">
        <f t="array" ref="S117">L117/MAX(IF($A$2:$A$146=A117,$L$2:$L$146))</f>
        <v>0.4375</v>
      </c>
      <c r="T117" s="28">
        <f t="array" ref="T117">M117/MAX(IF($A$2:$A$146=A117,$M$2:$M$146))</f>
        <v>0.1977077364</v>
      </c>
      <c r="U117" s="28">
        <f t="array" ref="U117">N117/MAX(IF($A$2:$A$146=A117,$N$2:$N$146))</f>
        <v>0.3359375</v>
      </c>
      <c r="V117" s="28">
        <f t="array" ref="V117">MIN(IF($A$2:$A$146=A117,$O$2:$O$146))/O117</f>
        <v>0.9630561483</v>
      </c>
    </row>
    <row r="118" ht="15.0" customHeight="1">
      <c r="A118" s="22" t="s">
        <v>26</v>
      </c>
      <c r="B118" s="22" t="s">
        <v>216</v>
      </c>
      <c r="C118" s="22" t="s">
        <v>238</v>
      </c>
      <c r="D118" s="22" t="s">
        <v>246</v>
      </c>
      <c r="E118" s="22" t="s">
        <v>247</v>
      </c>
      <c r="F118" s="23">
        <v>852.0</v>
      </c>
      <c r="G118" s="23">
        <v>23.0</v>
      </c>
      <c r="H118" s="23">
        <v>125.0</v>
      </c>
      <c r="I118" s="24">
        <v>4.12</v>
      </c>
      <c r="J118" s="25">
        <v>30.3</v>
      </c>
      <c r="K118" s="26">
        <v>0.03</v>
      </c>
      <c r="L118" s="25">
        <v>4.2</v>
      </c>
      <c r="M118" s="25">
        <v>4.0</v>
      </c>
      <c r="N118" s="26">
        <v>0.36</v>
      </c>
      <c r="O118" s="27">
        <v>1.5239</v>
      </c>
      <c r="P118" s="28">
        <f t="array" ref="P118">I118/MAX(IF($A$2:$A$146=A118,$I$2:$I$146))</f>
        <v>0.8459958932</v>
      </c>
      <c r="Q118" s="28">
        <f t="array" ref="Q118">J118/MAX(IF($A$2:$A$146=A118,$J$2:$J$146))</f>
        <v>0.4817170111</v>
      </c>
      <c r="R118" s="28">
        <f t="array" ref="R118">K118/MAX(IF($A$2:$A$146=A118,$K$2:$K$146))</f>
        <v>0.375</v>
      </c>
      <c r="S118" s="28">
        <f t="array" ref="S118">L118/MAX(IF($A$2:$A$146=A118,$L$2:$L$146))</f>
        <v>0.7</v>
      </c>
      <c r="T118" s="28">
        <f t="array" ref="T118">M118/MAX(IF($A$2:$A$146=A118,$M$2:$M$146))</f>
        <v>0.1639344262</v>
      </c>
      <c r="U118" s="28">
        <f t="array" ref="U118">N118/MAX(IF($A$2:$A$146=A118,$N$2:$N$146))</f>
        <v>0.3157894737</v>
      </c>
      <c r="V118" s="28">
        <f t="array" ref="V118">MIN(IF($A$2:$A$146=A118,$O$2:$O$146))/O118</f>
        <v>0.9804121005</v>
      </c>
    </row>
    <row r="119" ht="15.0" customHeight="1">
      <c r="A119" s="22" t="s">
        <v>29</v>
      </c>
      <c r="B119" s="22" t="s">
        <v>216</v>
      </c>
      <c r="C119" s="22" t="s">
        <v>238</v>
      </c>
      <c r="D119" s="22" t="s">
        <v>248</v>
      </c>
      <c r="E119" s="22" t="s">
        <v>249</v>
      </c>
      <c r="F119" s="23">
        <v>841.0</v>
      </c>
      <c r="G119" s="23">
        <v>33.0</v>
      </c>
      <c r="H119" s="23">
        <v>126.0</v>
      </c>
      <c r="I119" s="24">
        <v>4.09</v>
      </c>
      <c r="J119" s="25">
        <v>29.7</v>
      </c>
      <c r="K119" s="26">
        <v>0.03</v>
      </c>
      <c r="L119" s="25">
        <v>11.3</v>
      </c>
      <c r="M119" s="25">
        <v>4.5</v>
      </c>
      <c r="N119" s="26">
        <v>0.31</v>
      </c>
      <c r="O119" s="27">
        <v>1.52765</v>
      </c>
      <c r="P119" s="28">
        <f t="array" ref="P119">I119/MAX(IF($A$2:$A$146=A119,$I$2:$I$146))</f>
        <v>0.8795698925</v>
      </c>
      <c r="Q119" s="28">
        <f t="array" ref="Q119">J119/MAX(IF($A$2:$A$146=A119,$J$2:$J$146))</f>
        <v>0.561436673</v>
      </c>
      <c r="R119" s="28">
        <f t="array" ref="R119">K119/MAX(IF($A$2:$A$146=A119,$K$2:$K$146))</f>
        <v>0.6</v>
      </c>
      <c r="S119" s="28">
        <f t="array" ref="S119">L119/MAX(IF($A$2:$A$146=A119,$L$2:$L$146))</f>
        <v>0.3910034602</v>
      </c>
      <c r="T119" s="28">
        <f t="array" ref="T119">M119/MAX(IF($A$2:$A$146=A119,$M$2:$M$146))</f>
        <v>0.2727272727</v>
      </c>
      <c r="U119" s="28">
        <f t="array" ref="U119">N119/MAX(IF($A$2:$A$146=A119,$N$2:$N$146))</f>
        <v>0.4696969697</v>
      </c>
      <c r="V119" s="28">
        <f t="array" ref="V119">MIN(IF($A$2:$A$146=A119,$O$2:$O$146))/O119</f>
        <v>0.9662553595</v>
      </c>
    </row>
    <row r="120" ht="15.0" customHeight="1">
      <c r="A120" s="22" t="s">
        <v>32</v>
      </c>
      <c r="B120" s="22" t="s">
        <v>216</v>
      </c>
      <c r="C120" s="22" t="s">
        <v>238</v>
      </c>
      <c r="D120" s="22" t="s">
        <v>250</v>
      </c>
      <c r="E120" s="22" t="s">
        <v>251</v>
      </c>
      <c r="F120" s="23">
        <v>837.0</v>
      </c>
      <c r="G120" s="23">
        <v>12.0</v>
      </c>
      <c r="H120" s="23">
        <v>151.0</v>
      </c>
      <c r="I120" s="24">
        <v>4.04</v>
      </c>
      <c r="J120" s="25">
        <v>29.5</v>
      </c>
      <c r="K120" s="26">
        <v>0.02</v>
      </c>
      <c r="L120" s="25">
        <v>7.1</v>
      </c>
      <c r="M120" s="25">
        <v>3.5</v>
      </c>
      <c r="N120" s="26">
        <v>0.27</v>
      </c>
      <c r="O120" s="27">
        <v>1.50805</v>
      </c>
      <c r="P120" s="28">
        <f t="array" ref="P120">I120/MAX(IF($A$2:$A$146=A120,$I$2:$I$146))</f>
        <v>0.8801742919</v>
      </c>
      <c r="Q120" s="28">
        <f t="array" ref="Q120">J120/MAX(IF($A$2:$A$146=A120,$J$2:$J$146))</f>
        <v>0.3028747433</v>
      </c>
      <c r="R120" s="28">
        <f t="array" ref="R120">K120/MAX(IF($A$2:$A$146=A120,$K$2:$K$146))</f>
        <v>0.5</v>
      </c>
      <c r="S120" s="28">
        <f t="array" ref="S120">L120/MAX(IF($A$2:$A$146=A120,$L$2:$L$146))</f>
        <v>0.4104046243</v>
      </c>
      <c r="T120" s="28">
        <f t="array" ref="T120">M120/MAX(IF($A$2:$A$146=A120,$M$2:$M$146))</f>
        <v>0.2023121387</v>
      </c>
      <c r="U120" s="28">
        <f t="array" ref="U120">N120/MAX(IF($A$2:$A$146=A120,$N$2:$N$146))</f>
        <v>0.5</v>
      </c>
      <c r="V120" s="28">
        <f t="array" ref="V120">MIN(IF($A$2:$A$146=A120,$O$2:$O$146))/O120</f>
        <v>0.9786810782</v>
      </c>
    </row>
    <row r="121" ht="15.0" customHeight="1">
      <c r="A121" s="22" t="s">
        <v>35</v>
      </c>
      <c r="B121" s="22" t="s">
        <v>216</v>
      </c>
      <c r="C121" s="22" t="s">
        <v>238</v>
      </c>
      <c r="D121" s="22" t="s">
        <v>252</v>
      </c>
      <c r="E121" s="22" t="s">
        <v>253</v>
      </c>
      <c r="F121" s="23">
        <v>832.0</v>
      </c>
      <c r="G121" s="23">
        <v>17.0</v>
      </c>
      <c r="H121" s="23">
        <v>151.0</v>
      </c>
      <c r="I121" s="24">
        <v>4.03</v>
      </c>
      <c r="J121" s="25">
        <v>26.9</v>
      </c>
      <c r="K121" s="26">
        <v>0.02</v>
      </c>
      <c r="L121" s="25">
        <v>3.3</v>
      </c>
      <c r="M121" s="25">
        <v>2.8</v>
      </c>
      <c r="N121" s="26">
        <v>0.23</v>
      </c>
      <c r="O121" s="27">
        <v>1.5032</v>
      </c>
      <c r="P121" s="28">
        <f t="array" ref="P121">I121/MAX(IF($A$2:$A$146=A121,$I$2:$I$146))</f>
        <v>0.9350348028</v>
      </c>
      <c r="Q121" s="28">
        <f t="array" ref="Q121">J121/MAX(IF($A$2:$A$146=A121,$J$2:$J$146))</f>
        <v>0.5401606426</v>
      </c>
      <c r="R121" s="28">
        <f t="array" ref="R121">K121/MAX(IF($A$2:$A$146=A121,$K$2:$K$146))</f>
        <v>0.5</v>
      </c>
      <c r="S121" s="28">
        <f t="array" ref="S121">L121/MAX(IF($A$2:$A$146=A121,$L$2:$L$146))</f>
        <v>0.5689655172</v>
      </c>
      <c r="T121" s="28">
        <f t="array" ref="T121">M121/MAX(IF($A$2:$A$146=A121,$M$2:$M$146))</f>
        <v>0.1794871795</v>
      </c>
      <c r="U121" s="28">
        <f t="array" ref="U121">N121/MAX(IF($A$2:$A$146=A121,$N$2:$N$146))</f>
        <v>0.4693877551</v>
      </c>
      <c r="V121" s="28">
        <f t="array" ref="V121">MIN(IF($A$2:$A$146=A121,$O$2:$O$146))/O121</f>
        <v>0.9885577435</v>
      </c>
    </row>
    <row r="122" ht="15.0" customHeight="1">
      <c r="A122" s="22" t="s">
        <v>22</v>
      </c>
      <c r="B122" s="22" t="s">
        <v>216</v>
      </c>
      <c r="C122" s="22" t="s">
        <v>254</v>
      </c>
      <c r="D122" s="22" t="s">
        <v>254</v>
      </c>
      <c r="E122" s="22" t="s">
        <v>255</v>
      </c>
      <c r="F122" s="23">
        <v>896.0</v>
      </c>
      <c r="G122" s="23">
        <v>29.0</v>
      </c>
      <c r="H122" s="23">
        <v>75.0</v>
      </c>
      <c r="I122" s="24">
        <v>4.68</v>
      </c>
      <c r="J122" s="25">
        <v>40.2</v>
      </c>
      <c r="K122" s="26">
        <v>0.05</v>
      </c>
      <c r="L122" s="25">
        <v>3.3</v>
      </c>
      <c r="M122" s="25">
        <v>15.3</v>
      </c>
      <c r="N122" s="26">
        <v>0.67</v>
      </c>
      <c r="O122" s="27">
        <v>1.63055</v>
      </c>
      <c r="P122" s="28">
        <f t="array" ref="P122">I122/MAX(IF($A$2:$A$146=A122,$I$2:$I$146))</f>
        <v>0.9378757515</v>
      </c>
      <c r="Q122" s="28">
        <f t="array" ref="Q122">J122/MAX(IF($A$2:$A$146=A122,$J$2:$J$146))</f>
        <v>0.500622665</v>
      </c>
      <c r="R122" s="28">
        <f t="array" ref="R122">K122/MAX(IF($A$2:$A$146=A122,$K$2:$K$146))</f>
        <v>0.5</v>
      </c>
      <c r="S122" s="28">
        <f t="array" ref="S122">L122/MAX(IF($A$2:$A$146=A122,$L$2:$L$146))</f>
        <v>0.4125</v>
      </c>
      <c r="T122" s="28">
        <f t="array" ref="T122">M122/MAX(IF($A$2:$A$146=A122,$M$2:$M$146))</f>
        <v>0.4383954155</v>
      </c>
      <c r="U122" s="28">
        <f t="array" ref="U122">N122/MAX(IF($A$2:$A$146=A122,$N$2:$N$146))</f>
        <v>0.5234375</v>
      </c>
      <c r="V122" s="28">
        <f t="array" ref="V122">MIN(IF($A$2:$A$146=A122,$O$2:$O$146))/O122</f>
        <v>0.9272638067</v>
      </c>
    </row>
    <row r="123" ht="15.0" customHeight="1">
      <c r="A123" s="22" t="s">
        <v>26</v>
      </c>
      <c r="B123" s="22" t="s">
        <v>216</v>
      </c>
      <c r="C123" s="22" t="s">
        <v>254</v>
      </c>
      <c r="D123" s="22" t="s">
        <v>256</v>
      </c>
      <c r="E123" s="22" t="s">
        <v>257</v>
      </c>
      <c r="F123" s="23">
        <v>885.0</v>
      </c>
      <c r="G123" s="23">
        <v>15.0</v>
      </c>
      <c r="H123" s="23">
        <v>101.0</v>
      </c>
      <c r="I123" s="24">
        <v>4.16</v>
      </c>
      <c r="J123" s="25">
        <v>29.9</v>
      </c>
      <c r="K123" s="26">
        <v>0.03</v>
      </c>
      <c r="L123" s="25">
        <v>2.4</v>
      </c>
      <c r="M123" s="25">
        <v>6.3</v>
      </c>
      <c r="N123" s="26">
        <v>0.31</v>
      </c>
      <c r="O123" s="27">
        <v>1.55365</v>
      </c>
      <c r="P123" s="28">
        <f t="array" ref="P123">I123/MAX(IF($A$2:$A$146=A123,$I$2:$I$146))</f>
        <v>0.8542094456</v>
      </c>
      <c r="Q123" s="28">
        <f t="array" ref="Q123">J123/MAX(IF($A$2:$A$146=A123,$J$2:$J$146))</f>
        <v>0.4753577107</v>
      </c>
      <c r="R123" s="28">
        <f t="array" ref="R123">K123/MAX(IF($A$2:$A$146=A123,$K$2:$K$146))</f>
        <v>0.375</v>
      </c>
      <c r="S123" s="28">
        <f t="array" ref="S123">L123/MAX(IF($A$2:$A$146=A123,$L$2:$L$146))</f>
        <v>0.4</v>
      </c>
      <c r="T123" s="28">
        <f t="array" ref="T123">M123/MAX(IF($A$2:$A$146=A123,$M$2:$M$146))</f>
        <v>0.2581967213</v>
      </c>
      <c r="U123" s="28">
        <f t="array" ref="U123">N123/MAX(IF($A$2:$A$146=A123,$N$2:$N$146))</f>
        <v>0.2719298246</v>
      </c>
      <c r="V123" s="28">
        <f t="array" ref="V123">MIN(IF($A$2:$A$146=A123,$O$2:$O$146))/O123</f>
        <v>0.9616387217</v>
      </c>
    </row>
    <row r="124" ht="15.0" customHeight="1">
      <c r="A124" s="22" t="s">
        <v>29</v>
      </c>
      <c r="B124" s="22" t="s">
        <v>216</v>
      </c>
      <c r="C124" s="22" t="s">
        <v>254</v>
      </c>
      <c r="D124" s="22" t="s">
        <v>258</v>
      </c>
      <c r="E124" s="22" t="s">
        <v>259</v>
      </c>
      <c r="F124" s="23">
        <v>802.0</v>
      </c>
      <c r="G124" s="23">
        <v>21.0</v>
      </c>
      <c r="H124" s="23">
        <v>177.0</v>
      </c>
      <c r="I124" s="24">
        <v>4.2</v>
      </c>
      <c r="J124" s="25">
        <v>36.0</v>
      </c>
      <c r="K124" s="26">
        <v>0.03</v>
      </c>
      <c r="L124" s="25">
        <v>11.3</v>
      </c>
      <c r="M124" s="25">
        <v>10.3</v>
      </c>
      <c r="N124" s="26">
        <v>0.32</v>
      </c>
      <c r="O124" s="27">
        <v>1.54555</v>
      </c>
      <c r="P124" s="28">
        <f t="array" ref="P124">I124/MAX(IF($A$2:$A$146=A124,$I$2:$I$146))</f>
        <v>0.9032258065</v>
      </c>
      <c r="Q124" s="28">
        <f t="array" ref="Q124">J124/MAX(IF($A$2:$A$146=A124,$J$2:$J$146))</f>
        <v>0.6805293006</v>
      </c>
      <c r="R124" s="28">
        <f t="array" ref="R124">K124/MAX(IF($A$2:$A$146=A124,$K$2:$K$146))</f>
        <v>0.6</v>
      </c>
      <c r="S124" s="28">
        <f t="array" ref="S124">L124/MAX(IF($A$2:$A$146=A124,$L$2:$L$146))</f>
        <v>0.3910034602</v>
      </c>
      <c r="T124" s="28">
        <f t="array" ref="T124">M124/MAX(IF($A$2:$A$146=A124,$M$2:$M$146))</f>
        <v>0.6242424242</v>
      </c>
      <c r="U124" s="28">
        <f t="array" ref="U124">N124/MAX(IF($A$2:$A$146=A124,$N$2:$N$146))</f>
        <v>0.4848484848</v>
      </c>
      <c r="V124" s="28">
        <f t="array" ref="V124">MIN(IF($A$2:$A$146=A124,$O$2:$O$146))/O124</f>
        <v>0.9550645401</v>
      </c>
    </row>
    <row r="125" ht="15.0" customHeight="1">
      <c r="A125" s="22" t="s">
        <v>32</v>
      </c>
      <c r="B125" s="22" t="s">
        <v>216</v>
      </c>
      <c r="C125" s="22" t="s">
        <v>254</v>
      </c>
      <c r="D125" s="22" t="s">
        <v>260</v>
      </c>
      <c r="E125" s="22" t="s">
        <v>261</v>
      </c>
      <c r="F125" s="23">
        <v>829.0</v>
      </c>
      <c r="G125" s="23">
        <v>21.0</v>
      </c>
      <c r="H125" s="23">
        <v>151.0</v>
      </c>
      <c r="I125" s="24">
        <v>4.1</v>
      </c>
      <c r="J125" s="25">
        <v>33.9</v>
      </c>
      <c r="K125" s="26">
        <v>0.02</v>
      </c>
      <c r="L125" s="25">
        <v>6.6</v>
      </c>
      <c r="M125" s="25">
        <v>7.1</v>
      </c>
      <c r="N125" s="26">
        <v>0.26</v>
      </c>
      <c r="O125" s="27">
        <v>1.53515</v>
      </c>
      <c r="P125" s="28">
        <f t="array" ref="P125">I125/MAX(IF($A$2:$A$146=A125,$I$2:$I$146))</f>
        <v>0.8932461874</v>
      </c>
      <c r="Q125" s="28">
        <f t="array" ref="Q125">J125/MAX(IF($A$2:$A$146=A125,$J$2:$J$146))</f>
        <v>0.3480492813</v>
      </c>
      <c r="R125" s="28">
        <f t="array" ref="R125">K125/MAX(IF($A$2:$A$146=A125,$K$2:$K$146))</f>
        <v>0.5</v>
      </c>
      <c r="S125" s="28">
        <f t="array" ref="S125">L125/MAX(IF($A$2:$A$146=A125,$L$2:$L$146))</f>
        <v>0.3815028902</v>
      </c>
      <c r="T125" s="28">
        <f t="array" ref="T125">M125/MAX(IF($A$2:$A$146=A125,$M$2:$M$146))</f>
        <v>0.4104046243</v>
      </c>
      <c r="U125" s="28">
        <f t="array" ref="U125">N125/MAX(IF($A$2:$A$146=A125,$N$2:$N$146))</f>
        <v>0.4814814815</v>
      </c>
      <c r="V125" s="28">
        <f t="array" ref="V125">MIN(IF($A$2:$A$146=A125,$O$2:$O$146))/O125</f>
        <v>0.961404423</v>
      </c>
    </row>
    <row r="126" ht="15.0" customHeight="1">
      <c r="A126" s="22" t="s">
        <v>35</v>
      </c>
      <c r="B126" s="22" t="s">
        <v>216</v>
      </c>
      <c r="C126" s="22" t="s">
        <v>254</v>
      </c>
      <c r="D126" s="22" t="s">
        <v>262</v>
      </c>
      <c r="E126" s="22" t="s">
        <v>263</v>
      </c>
      <c r="F126" s="23">
        <v>835.0</v>
      </c>
      <c r="G126" s="23">
        <v>14.0</v>
      </c>
      <c r="H126" s="23">
        <v>151.0</v>
      </c>
      <c r="I126" s="24">
        <v>4.0</v>
      </c>
      <c r="J126" s="25">
        <v>33.2</v>
      </c>
      <c r="K126" s="26">
        <v>0.02</v>
      </c>
      <c r="L126" s="25">
        <v>3.8</v>
      </c>
      <c r="M126" s="25">
        <v>4.0</v>
      </c>
      <c r="N126" s="26">
        <v>0.2</v>
      </c>
      <c r="O126" s="27">
        <v>1.5125</v>
      </c>
      <c r="P126" s="28">
        <f t="array" ref="P126">I126/MAX(IF($A$2:$A$146=A126,$I$2:$I$146))</f>
        <v>0.9280742459</v>
      </c>
      <c r="Q126" s="28">
        <f t="array" ref="Q126">J126/MAX(IF($A$2:$A$146=A126,$J$2:$J$146))</f>
        <v>0.6666666667</v>
      </c>
      <c r="R126" s="28">
        <f t="array" ref="R126">K126/MAX(IF($A$2:$A$146=A126,$K$2:$K$146))</f>
        <v>0.5</v>
      </c>
      <c r="S126" s="28">
        <f t="array" ref="S126">L126/MAX(IF($A$2:$A$146=A126,$L$2:$L$146))</f>
        <v>0.6551724138</v>
      </c>
      <c r="T126" s="28">
        <f t="array" ref="T126">M126/MAX(IF($A$2:$A$146=A126,$M$2:$M$146))</f>
        <v>0.2564102564</v>
      </c>
      <c r="U126" s="28">
        <f t="array" ref="U126">N126/MAX(IF($A$2:$A$146=A126,$N$2:$N$146))</f>
        <v>0.4081632653</v>
      </c>
      <c r="V126" s="28">
        <f t="array" ref="V126">MIN(IF($A$2:$A$146=A126,$O$2:$O$146))/O126</f>
        <v>0.9824793388</v>
      </c>
    </row>
    <row r="127" ht="15.0" customHeight="1">
      <c r="A127" s="22" t="s">
        <v>22</v>
      </c>
      <c r="B127" s="22" t="s">
        <v>216</v>
      </c>
      <c r="C127" s="22" t="s">
        <v>247</v>
      </c>
      <c r="D127" s="22" t="s">
        <v>247</v>
      </c>
      <c r="E127" s="22" t="s">
        <v>107</v>
      </c>
      <c r="F127" s="23">
        <v>902.0</v>
      </c>
      <c r="G127" s="23">
        <v>23.0</v>
      </c>
      <c r="H127" s="23">
        <v>75.0</v>
      </c>
      <c r="I127" s="24">
        <v>4.5</v>
      </c>
      <c r="J127" s="25">
        <v>34.3</v>
      </c>
      <c r="K127" s="26">
        <v>0.03</v>
      </c>
      <c r="L127" s="25">
        <v>1.3</v>
      </c>
      <c r="M127" s="25">
        <v>11.1</v>
      </c>
      <c r="N127" s="26">
        <v>0.39</v>
      </c>
      <c r="O127" s="27">
        <v>1.60185</v>
      </c>
      <c r="P127" s="28">
        <f t="array" ref="P127">I127/MAX(IF($A$2:$A$146=A127,$I$2:$I$146))</f>
        <v>0.9018036072</v>
      </c>
      <c r="Q127" s="28">
        <f t="array" ref="Q127">J127/MAX(IF($A$2:$A$146=A127,$J$2:$J$146))</f>
        <v>0.4271481943</v>
      </c>
      <c r="R127" s="28">
        <f t="array" ref="R127">K127/MAX(IF($A$2:$A$146=A127,$K$2:$K$146))</f>
        <v>0.3</v>
      </c>
      <c r="S127" s="28">
        <f t="array" ref="S127">L127/MAX(IF($A$2:$A$146=A127,$L$2:$L$146))</f>
        <v>0.1625</v>
      </c>
      <c r="T127" s="28">
        <f t="array" ref="T127">M127/MAX(IF($A$2:$A$146=A127,$M$2:$M$146))</f>
        <v>0.3180515759</v>
      </c>
      <c r="U127" s="28">
        <f t="array" ref="U127">N127/MAX(IF($A$2:$A$146=A127,$N$2:$N$146))</f>
        <v>0.3046875</v>
      </c>
      <c r="V127" s="28">
        <f t="array" ref="V127">MIN(IF($A$2:$A$146=A127,$O$2:$O$146))/O127</f>
        <v>0.9438773918</v>
      </c>
    </row>
    <row r="128" ht="15.0" customHeight="1">
      <c r="A128" s="22" t="s">
        <v>26</v>
      </c>
      <c r="B128" s="22" t="s">
        <v>216</v>
      </c>
      <c r="C128" s="22" t="s">
        <v>247</v>
      </c>
      <c r="D128" s="22" t="s">
        <v>264</v>
      </c>
      <c r="E128" s="22" t="s">
        <v>265</v>
      </c>
      <c r="F128" s="23">
        <v>876.0</v>
      </c>
      <c r="G128" s="23">
        <v>24.0</v>
      </c>
      <c r="H128" s="23">
        <v>100.0</v>
      </c>
      <c r="I128" s="24">
        <v>4.41</v>
      </c>
      <c r="J128" s="25">
        <v>53.2</v>
      </c>
      <c r="K128" s="26">
        <v>0.02</v>
      </c>
      <c r="L128" s="25">
        <v>2.4</v>
      </c>
      <c r="M128" s="25">
        <v>8.2</v>
      </c>
      <c r="N128" s="26">
        <v>0.19</v>
      </c>
      <c r="O128" s="27">
        <v>1.5696</v>
      </c>
      <c r="P128" s="28">
        <f t="array" ref="P128">I128/MAX(IF($A$2:$A$146=A128,$I$2:$I$146))</f>
        <v>0.9055441478</v>
      </c>
      <c r="Q128" s="28">
        <f t="array" ref="Q128">J128/MAX(IF($A$2:$A$146=A128,$J$2:$J$146))</f>
        <v>0.8457869634</v>
      </c>
      <c r="R128" s="28">
        <f t="array" ref="R128">K128/MAX(IF($A$2:$A$146=A128,$K$2:$K$146))</f>
        <v>0.25</v>
      </c>
      <c r="S128" s="28">
        <f t="array" ref="S128">L128/MAX(IF($A$2:$A$146=A128,$L$2:$L$146))</f>
        <v>0.4</v>
      </c>
      <c r="T128" s="28">
        <f t="array" ref="T128">M128/MAX(IF($A$2:$A$146=A128,$M$2:$M$146))</f>
        <v>0.3360655738</v>
      </c>
      <c r="U128" s="28">
        <f t="array" ref="U128">N128/MAX(IF($A$2:$A$146=A128,$N$2:$N$146))</f>
        <v>0.1666666667</v>
      </c>
      <c r="V128" s="28">
        <f t="array" ref="V128">MIN(IF($A$2:$A$146=A128,$O$2:$O$146))/O128</f>
        <v>0.9518667176</v>
      </c>
    </row>
    <row r="129" ht="15.0" customHeight="1">
      <c r="A129" s="22" t="s">
        <v>29</v>
      </c>
      <c r="B129" s="22" t="s">
        <v>216</v>
      </c>
      <c r="C129" s="22" t="s">
        <v>247</v>
      </c>
      <c r="D129" s="22" t="s">
        <v>266</v>
      </c>
      <c r="E129" s="22" t="s">
        <v>267</v>
      </c>
      <c r="F129" s="23">
        <v>810.0</v>
      </c>
      <c r="G129" s="23">
        <v>14.0</v>
      </c>
      <c r="H129" s="23">
        <v>176.0</v>
      </c>
      <c r="I129" s="24">
        <v>4.1</v>
      </c>
      <c r="J129" s="25">
        <v>24.0</v>
      </c>
      <c r="K129" s="26">
        <v>0.02</v>
      </c>
      <c r="L129" s="25">
        <v>10.6</v>
      </c>
      <c r="M129" s="25">
        <v>4.6</v>
      </c>
      <c r="N129" s="26">
        <v>0.17</v>
      </c>
      <c r="O129" s="27">
        <v>1.5048</v>
      </c>
      <c r="P129" s="28">
        <f t="array" ref="P129">I129/MAX(IF($A$2:$A$146=A129,$I$2:$I$146))</f>
        <v>0.8817204301</v>
      </c>
      <c r="Q129" s="28">
        <f t="array" ref="Q129">J129/MAX(IF($A$2:$A$146=A129,$J$2:$J$146))</f>
        <v>0.4536862004</v>
      </c>
      <c r="R129" s="28">
        <f t="array" ref="R129">K129/MAX(IF($A$2:$A$146=A129,$K$2:$K$146))</f>
        <v>0.4</v>
      </c>
      <c r="S129" s="28">
        <f t="array" ref="S129">L129/MAX(IF($A$2:$A$146=A129,$L$2:$L$146))</f>
        <v>0.3667820069</v>
      </c>
      <c r="T129" s="28">
        <f t="array" ref="T129">M129/MAX(IF($A$2:$A$146=A129,$M$2:$M$146))</f>
        <v>0.2787878788</v>
      </c>
      <c r="U129" s="28">
        <f t="array" ref="U129">N129/MAX(IF($A$2:$A$146=A129,$N$2:$N$146))</f>
        <v>0.2575757576</v>
      </c>
      <c r="V129" s="28">
        <f t="array" ref="V129">MIN(IF($A$2:$A$146=A129,$O$2:$O$146))/O129</f>
        <v>0.980927698</v>
      </c>
    </row>
    <row r="130" ht="15.0" customHeight="1">
      <c r="A130" s="22" t="s">
        <v>32</v>
      </c>
      <c r="B130" s="22" t="s">
        <v>216</v>
      </c>
      <c r="C130" s="22" t="s">
        <v>247</v>
      </c>
      <c r="D130" s="22" t="s">
        <v>268</v>
      </c>
      <c r="E130" s="22" t="s">
        <v>269</v>
      </c>
      <c r="F130" s="23">
        <v>858.0</v>
      </c>
      <c r="G130" s="23">
        <v>17.0</v>
      </c>
      <c r="H130" s="23">
        <v>126.0</v>
      </c>
      <c r="I130" s="24">
        <v>4.01</v>
      </c>
      <c r="J130" s="25">
        <v>36.8</v>
      </c>
      <c r="K130" s="26">
        <v>0.01</v>
      </c>
      <c r="L130" s="25">
        <v>6.2</v>
      </c>
      <c r="M130" s="25">
        <v>4.7</v>
      </c>
      <c r="N130" s="26">
        <v>0.13</v>
      </c>
      <c r="O130" s="27">
        <v>1.53095</v>
      </c>
      <c r="P130" s="28">
        <f t="array" ref="P130">I130/MAX(IF($A$2:$A$146=A130,$I$2:$I$146))</f>
        <v>0.8736383442</v>
      </c>
      <c r="Q130" s="28">
        <f t="array" ref="Q130">J130/MAX(IF($A$2:$A$146=A130,$J$2:$J$146))</f>
        <v>0.3778234086</v>
      </c>
      <c r="R130" s="28">
        <f t="array" ref="R130">K130/MAX(IF($A$2:$A$146=A130,$K$2:$K$146))</f>
        <v>0.25</v>
      </c>
      <c r="S130" s="28">
        <f t="array" ref="S130">L130/MAX(IF($A$2:$A$146=A130,$L$2:$L$146))</f>
        <v>0.3583815029</v>
      </c>
      <c r="T130" s="28">
        <f t="array" ref="T130">M130/MAX(IF($A$2:$A$146=A130,$M$2:$M$146))</f>
        <v>0.2716763006</v>
      </c>
      <c r="U130" s="28">
        <f t="array" ref="U130">N130/MAX(IF($A$2:$A$146=A130,$N$2:$N$146))</f>
        <v>0.2407407407</v>
      </c>
      <c r="V130" s="28">
        <f t="array" ref="V130">MIN(IF($A$2:$A$146=A130,$O$2:$O$146))/O130</f>
        <v>0.9640419347</v>
      </c>
    </row>
    <row r="131" ht="15.0" customHeight="1">
      <c r="A131" s="22" t="s">
        <v>35</v>
      </c>
      <c r="B131" s="22" t="s">
        <v>216</v>
      </c>
      <c r="C131" s="22" t="s">
        <v>247</v>
      </c>
      <c r="D131" s="22" t="s">
        <v>270</v>
      </c>
      <c r="E131" s="22" t="s">
        <v>271</v>
      </c>
      <c r="F131" s="23">
        <v>848.0</v>
      </c>
      <c r="G131" s="23">
        <v>26.0</v>
      </c>
      <c r="H131" s="23">
        <v>126.0</v>
      </c>
      <c r="I131" s="24">
        <v>3.97</v>
      </c>
      <c r="J131" s="25">
        <v>27.5</v>
      </c>
      <c r="K131" s="26">
        <v>0.01</v>
      </c>
      <c r="L131" s="25">
        <v>2.4</v>
      </c>
      <c r="M131" s="25">
        <v>3.9</v>
      </c>
      <c r="N131" s="26">
        <v>0.1</v>
      </c>
      <c r="O131" s="27">
        <v>1.52525</v>
      </c>
      <c r="P131" s="28">
        <f t="array" ref="P131">I131/MAX(IF($A$2:$A$146=A131,$I$2:$I$146))</f>
        <v>0.9211136891</v>
      </c>
      <c r="Q131" s="28">
        <f t="array" ref="Q131">J131/MAX(IF($A$2:$A$146=A131,$J$2:$J$146))</f>
        <v>0.5522088353</v>
      </c>
      <c r="R131" s="28">
        <f t="array" ref="R131">K131/MAX(IF($A$2:$A$146=A131,$K$2:$K$146))</f>
        <v>0.25</v>
      </c>
      <c r="S131" s="28">
        <f t="array" ref="S131">L131/MAX(IF($A$2:$A$146=A131,$L$2:$L$146))</f>
        <v>0.4137931034</v>
      </c>
      <c r="T131" s="28">
        <f t="array" ref="T131">M131/MAX(IF($A$2:$A$146=A131,$M$2:$M$146))</f>
        <v>0.25</v>
      </c>
      <c r="U131" s="28">
        <f t="array" ref="U131">N131/MAX(IF($A$2:$A$146=A131,$N$2:$N$146))</f>
        <v>0.2040816327</v>
      </c>
      <c r="V131" s="28">
        <f t="array" ref="V131">MIN(IF($A$2:$A$146=A131,$O$2:$O$146))/O131</f>
        <v>0.9742665137</v>
      </c>
    </row>
    <row r="132" ht="15.0" customHeight="1">
      <c r="A132" s="22" t="s">
        <v>22</v>
      </c>
      <c r="B132" s="22" t="s">
        <v>216</v>
      </c>
      <c r="C132" s="22" t="s">
        <v>257</v>
      </c>
      <c r="D132" s="22" t="s">
        <v>257</v>
      </c>
      <c r="E132" s="22" t="s">
        <v>117</v>
      </c>
      <c r="F132" s="23">
        <v>916.0</v>
      </c>
      <c r="G132" s="23">
        <v>21.0</v>
      </c>
      <c r="H132" s="23">
        <v>63.0</v>
      </c>
      <c r="I132" s="24">
        <v>4.16</v>
      </c>
      <c r="J132" s="25">
        <v>42.5</v>
      </c>
      <c r="K132" s="26">
        <v>0.05</v>
      </c>
      <c r="L132" s="25">
        <v>4.0</v>
      </c>
      <c r="M132" s="25">
        <v>5.7</v>
      </c>
      <c r="N132" s="26">
        <v>0.62</v>
      </c>
      <c r="O132" s="27">
        <v>1.56505</v>
      </c>
      <c r="P132" s="28">
        <f t="array" ref="P132">I132/MAX(IF($A$2:$A$146=A132,$I$2:$I$146))</f>
        <v>0.8336673347</v>
      </c>
      <c r="Q132" s="28">
        <f t="array" ref="Q132">J132/MAX(IF($A$2:$A$146=A132,$J$2:$J$146))</f>
        <v>0.5292652553</v>
      </c>
      <c r="R132" s="28">
        <f t="array" ref="R132">K132/MAX(IF($A$2:$A$146=A132,$K$2:$K$146))</f>
        <v>0.5</v>
      </c>
      <c r="S132" s="28">
        <f t="array" ref="S132">L132/MAX(IF($A$2:$A$146=A132,$L$2:$L$146))</f>
        <v>0.5</v>
      </c>
      <c r="T132" s="28">
        <f t="array" ref="T132">M132/MAX(IF($A$2:$A$146=A132,$M$2:$M$146))</f>
        <v>0.1633237822</v>
      </c>
      <c r="U132" s="28">
        <f t="array" ref="U132">N132/MAX(IF($A$2:$A$146=A132,$N$2:$N$146))</f>
        <v>0.484375</v>
      </c>
      <c r="V132" s="28">
        <f t="array" ref="V132">MIN(IF($A$2:$A$146=A132,$O$2:$O$146))/O132</f>
        <v>0.9660713715</v>
      </c>
    </row>
    <row r="133" ht="15.0" customHeight="1">
      <c r="A133" s="22" t="s">
        <v>26</v>
      </c>
      <c r="B133" s="22" t="s">
        <v>216</v>
      </c>
      <c r="C133" s="22" t="s">
        <v>257</v>
      </c>
      <c r="D133" s="22" t="s">
        <v>272</v>
      </c>
      <c r="E133" s="22" t="s">
        <v>273</v>
      </c>
      <c r="F133" s="23">
        <v>827.0</v>
      </c>
      <c r="G133" s="23">
        <v>23.0</v>
      </c>
      <c r="H133" s="23">
        <v>150.0</v>
      </c>
      <c r="I133" s="24">
        <v>4.01</v>
      </c>
      <c r="J133" s="25">
        <v>34.1</v>
      </c>
      <c r="K133" s="26">
        <v>0.03</v>
      </c>
      <c r="L133" s="25">
        <v>2.6</v>
      </c>
      <c r="M133" s="25">
        <v>1.7</v>
      </c>
      <c r="N133" s="26">
        <v>0.37</v>
      </c>
      <c r="O133" s="12">
        <v>1.49405</v>
      </c>
      <c r="P133" s="28">
        <f t="array" ref="P133">I133/MAX(IF($A$2:$A$146=A133,$I$2:$I$146))</f>
        <v>0.8234086242</v>
      </c>
      <c r="Q133" s="28">
        <f t="array" ref="Q133">J133/MAX(IF($A$2:$A$146=A133,$J$2:$J$146))</f>
        <v>0.5421303657</v>
      </c>
      <c r="R133" s="28">
        <f t="array" ref="R133">K133/MAX(IF($A$2:$A$146=A133,$K$2:$K$146))</f>
        <v>0.375</v>
      </c>
      <c r="S133" s="28">
        <f t="array" ref="S133">L133/MAX(IF($A$2:$A$146=A133,$L$2:$L$146))</f>
        <v>0.4333333333</v>
      </c>
      <c r="T133" s="28">
        <f t="array" ref="T133">M133/MAX(IF($A$2:$A$146=A133,$M$2:$M$146))</f>
        <v>0.06967213115</v>
      </c>
      <c r="U133" s="28">
        <f t="array" ref="U133">N133/MAX(IF($A$2:$A$146=A133,$N$2:$N$146))</f>
        <v>0.3245614035</v>
      </c>
      <c r="V133" s="28">
        <f t="array" ref="V133">MIN(IF($A$2:$A$146=A133,$O$2:$O$146))/O133</f>
        <v>1</v>
      </c>
    </row>
    <row r="134" ht="15.0" customHeight="1">
      <c r="A134" s="22" t="s">
        <v>29</v>
      </c>
      <c r="B134" s="22" t="s">
        <v>216</v>
      </c>
      <c r="C134" s="22" t="s">
        <v>257</v>
      </c>
      <c r="D134" s="22" t="s">
        <v>274</v>
      </c>
      <c r="E134" s="22" t="s">
        <v>189</v>
      </c>
      <c r="F134" s="23">
        <v>833.0</v>
      </c>
      <c r="G134" s="23">
        <v>15.0</v>
      </c>
      <c r="H134" s="23">
        <v>151.0</v>
      </c>
      <c r="I134" s="24">
        <v>3.95</v>
      </c>
      <c r="J134" s="25">
        <v>36.3</v>
      </c>
      <c r="K134" s="26">
        <v>0.03</v>
      </c>
      <c r="L134" s="25">
        <v>12.4</v>
      </c>
      <c r="M134" s="25">
        <v>2.1</v>
      </c>
      <c r="N134" s="26">
        <v>0.39</v>
      </c>
      <c r="O134" s="27">
        <v>1.49635</v>
      </c>
      <c r="P134" s="28">
        <f t="array" ref="P134">I134/MAX(IF($A$2:$A$146=A134,$I$2:$I$146))</f>
        <v>0.8494623656</v>
      </c>
      <c r="Q134" s="28">
        <f t="array" ref="Q134">J134/MAX(IF($A$2:$A$146=A134,$J$2:$J$146))</f>
        <v>0.6862003781</v>
      </c>
      <c r="R134" s="28">
        <f t="array" ref="R134">K134/MAX(IF($A$2:$A$146=A134,$K$2:$K$146))</f>
        <v>0.6</v>
      </c>
      <c r="S134" s="28">
        <f t="array" ref="S134">L134/MAX(IF($A$2:$A$146=A134,$L$2:$L$146))</f>
        <v>0.4290657439</v>
      </c>
      <c r="T134" s="28">
        <f t="array" ref="T134">M134/MAX(IF($A$2:$A$146=A134,$M$2:$M$146))</f>
        <v>0.1272727273</v>
      </c>
      <c r="U134" s="28">
        <f t="array" ref="U134">N134/MAX(IF($A$2:$A$146=A134,$N$2:$N$146))</f>
        <v>0.5909090909</v>
      </c>
      <c r="V134" s="28">
        <f t="array" ref="V134">MIN(IF($A$2:$A$146=A134,$O$2:$O$146))/O134</f>
        <v>0.9864670699</v>
      </c>
    </row>
    <row r="135" ht="15.0" customHeight="1">
      <c r="A135" s="22" t="s">
        <v>32</v>
      </c>
      <c r="B135" s="22" t="s">
        <v>216</v>
      </c>
      <c r="C135" s="22" t="s">
        <v>257</v>
      </c>
      <c r="D135" s="22" t="s">
        <v>275</v>
      </c>
      <c r="E135" s="22" t="s">
        <v>276</v>
      </c>
      <c r="F135" s="23">
        <v>854.0</v>
      </c>
      <c r="G135" s="23">
        <v>21.0</v>
      </c>
      <c r="H135" s="23">
        <v>126.0</v>
      </c>
      <c r="I135" s="24">
        <v>3.91</v>
      </c>
      <c r="J135" s="25">
        <v>34.7</v>
      </c>
      <c r="K135" s="26">
        <v>0.02</v>
      </c>
      <c r="L135" s="10">
        <v>17.3</v>
      </c>
      <c r="M135" s="25">
        <v>1.9</v>
      </c>
      <c r="N135" s="26">
        <v>0.26</v>
      </c>
      <c r="O135" s="27">
        <v>1.50865</v>
      </c>
      <c r="P135" s="28">
        <f t="array" ref="P135">I135/MAX(IF($A$2:$A$146=A135,$I$2:$I$146))</f>
        <v>0.8518518519</v>
      </c>
      <c r="Q135" s="28">
        <f t="array" ref="Q135">J135/MAX(IF($A$2:$A$146=A135,$J$2:$J$146))</f>
        <v>0.3562628337</v>
      </c>
      <c r="R135" s="28">
        <f t="array" ref="R135">K135/MAX(IF($A$2:$A$146=A135,$K$2:$K$146))</f>
        <v>0.5</v>
      </c>
      <c r="S135" s="28">
        <f t="array" ref="S135">L135/MAX(IF($A$2:$A$146=A135,$L$2:$L$146))</f>
        <v>1</v>
      </c>
      <c r="T135" s="28">
        <f t="array" ref="T135">M135/MAX(IF($A$2:$A$146=A135,$M$2:$M$146))</f>
        <v>0.1098265896</v>
      </c>
      <c r="U135" s="28">
        <f t="array" ref="U135">N135/MAX(IF($A$2:$A$146=A135,$N$2:$N$146))</f>
        <v>0.4814814815</v>
      </c>
      <c r="V135" s="28">
        <f t="array" ref="V135">MIN(IF($A$2:$A$146=A135,$O$2:$O$146))/O135</f>
        <v>0.9782918503</v>
      </c>
    </row>
    <row r="136" ht="15.0" customHeight="1">
      <c r="A136" s="22" t="s">
        <v>35</v>
      </c>
      <c r="B136" s="22" t="s">
        <v>216</v>
      </c>
      <c r="C136" s="22" t="s">
        <v>257</v>
      </c>
      <c r="D136" s="22" t="s">
        <v>277</v>
      </c>
      <c r="E136" s="22" t="s">
        <v>278</v>
      </c>
      <c r="F136" s="23">
        <v>854.0</v>
      </c>
      <c r="G136" s="23">
        <v>20.0</v>
      </c>
      <c r="H136" s="23">
        <v>126.0</v>
      </c>
      <c r="I136" s="24">
        <v>3.9</v>
      </c>
      <c r="J136" s="25">
        <v>33.2</v>
      </c>
      <c r="K136" s="26">
        <v>0.02</v>
      </c>
      <c r="L136" s="25">
        <v>3.5</v>
      </c>
      <c r="M136" s="25">
        <v>1.8</v>
      </c>
      <c r="N136" s="26">
        <v>0.26</v>
      </c>
      <c r="O136" s="27">
        <v>1.5079</v>
      </c>
      <c r="P136" s="28">
        <f t="array" ref="P136">I136/MAX(IF($A$2:$A$146=A136,$I$2:$I$146))</f>
        <v>0.9048723898</v>
      </c>
      <c r="Q136" s="28">
        <f t="array" ref="Q136">J136/MAX(IF($A$2:$A$146=A136,$J$2:$J$146))</f>
        <v>0.6666666667</v>
      </c>
      <c r="R136" s="28">
        <f t="array" ref="R136">K136/MAX(IF($A$2:$A$146=A136,$K$2:$K$146))</f>
        <v>0.5</v>
      </c>
      <c r="S136" s="28">
        <f t="array" ref="S136">L136/MAX(IF($A$2:$A$146=A136,$L$2:$L$146))</f>
        <v>0.6034482759</v>
      </c>
      <c r="T136" s="28">
        <f t="array" ref="T136">M136/MAX(IF($A$2:$A$146=A136,$M$2:$M$146))</f>
        <v>0.1153846154</v>
      </c>
      <c r="U136" s="28">
        <f t="array" ref="U136">N136/MAX(IF($A$2:$A$146=A136,$N$2:$N$146))</f>
        <v>0.5306122449</v>
      </c>
      <c r="V136" s="28">
        <f t="array" ref="V136">MIN(IF($A$2:$A$146=A136,$O$2:$O$146))/O136</f>
        <v>0.9854764905</v>
      </c>
    </row>
    <row r="137" ht="15.0" customHeight="1">
      <c r="A137" s="22" t="s">
        <v>22</v>
      </c>
      <c r="B137" s="22" t="s">
        <v>216</v>
      </c>
      <c r="C137" s="22" t="s">
        <v>61</v>
      </c>
      <c r="D137" s="22" t="s">
        <v>61</v>
      </c>
      <c r="E137" s="22" t="s">
        <v>279</v>
      </c>
      <c r="F137" s="23">
        <v>864.0</v>
      </c>
      <c r="G137" s="23">
        <v>23.0</v>
      </c>
      <c r="H137" s="23">
        <v>113.0</v>
      </c>
      <c r="I137" s="24">
        <v>4.15</v>
      </c>
      <c r="J137" s="25">
        <v>42.9</v>
      </c>
      <c r="K137" s="26">
        <v>0.05</v>
      </c>
      <c r="L137" s="25">
        <v>3.8</v>
      </c>
      <c r="M137" s="25">
        <v>7.6</v>
      </c>
      <c r="N137" s="26">
        <v>0.7</v>
      </c>
      <c r="O137" s="27">
        <v>1.5535</v>
      </c>
      <c r="P137" s="28">
        <f t="array" ref="P137">I137/MAX(IF($A$2:$A$146=A137,$I$2:$I$146))</f>
        <v>0.8316633267</v>
      </c>
      <c r="Q137" s="28">
        <f t="array" ref="Q137">J137/MAX(IF($A$2:$A$146=A137,$J$2:$J$146))</f>
        <v>0.5342465753</v>
      </c>
      <c r="R137" s="28">
        <f t="array" ref="R137">K137/MAX(IF($A$2:$A$146=A137,$K$2:$K$146))</f>
        <v>0.5</v>
      </c>
      <c r="S137" s="28">
        <f t="array" ref="S137">L137/MAX(IF($A$2:$A$146=A137,$L$2:$L$146))</f>
        <v>0.475</v>
      </c>
      <c r="T137" s="28">
        <f t="array" ref="T137">M137/MAX(IF($A$2:$A$146=A137,$M$2:$M$146))</f>
        <v>0.217765043</v>
      </c>
      <c r="U137" s="28">
        <f t="array" ref="U137">N137/MAX(IF($A$2:$A$146=A137,$N$2:$N$146))</f>
        <v>0.546875</v>
      </c>
      <c r="V137" s="28">
        <f t="array" ref="V137">MIN(IF($A$2:$A$146=A137,$O$2:$O$146))/O137</f>
        <v>0.9732539427</v>
      </c>
    </row>
    <row r="138" ht="15.0" customHeight="1">
      <c r="A138" s="22" t="s">
        <v>26</v>
      </c>
      <c r="B138" s="22" t="s">
        <v>216</v>
      </c>
      <c r="C138" s="22" t="s">
        <v>61</v>
      </c>
      <c r="D138" s="22" t="s">
        <v>280</v>
      </c>
      <c r="E138" s="22" t="s">
        <v>281</v>
      </c>
      <c r="F138" s="23">
        <v>883.0</v>
      </c>
      <c r="G138" s="23">
        <v>17.0</v>
      </c>
      <c r="H138" s="23">
        <v>101.0</v>
      </c>
      <c r="I138" s="24">
        <v>4.13</v>
      </c>
      <c r="J138" s="25">
        <v>45.1</v>
      </c>
      <c r="K138" s="26">
        <v>0.06</v>
      </c>
      <c r="L138" s="25">
        <v>4.0</v>
      </c>
      <c r="M138" s="25">
        <v>7.1</v>
      </c>
      <c r="N138" s="26">
        <v>0.75</v>
      </c>
      <c r="O138" s="27">
        <v>1.55525</v>
      </c>
      <c r="P138" s="28">
        <f t="array" ref="P138">I138/MAX(IF($A$2:$A$146=A138,$I$2:$I$146))</f>
        <v>0.8480492813</v>
      </c>
      <c r="Q138" s="28">
        <f t="array" ref="Q138">J138/MAX(IF($A$2:$A$146=A138,$J$2:$J$146))</f>
        <v>0.7170111288</v>
      </c>
      <c r="R138" s="28">
        <f t="array" ref="R138">K138/MAX(IF($A$2:$A$146=A138,$K$2:$K$146))</f>
        <v>0.75</v>
      </c>
      <c r="S138" s="28">
        <f t="array" ref="S138">L138/MAX(IF($A$2:$A$146=A138,$L$2:$L$146))</f>
        <v>0.6666666667</v>
      </c>
      <c r="T138" s="28">
        <f t="array" ref="T138">M138/MAX(IF($A$2:$A$146=A138,$M$2:$M$146))</f>
        <v>0.2909836066</v>
      </c>
      <c r="U138" s="28">
        <f t="array" ref="U138">N138/MAX(IF($A$2:$A$146=A138,$N$2:$N$146))</f>
        <v>0.6578947368</v>
      </c>
      <c r="V138" s="28">
        <f t="array" ref="V138">MIN(IF($A$2:$A$146=A138,$O$2:$O$146))/O138</f>
        <v>0.9606494133</v>
      </c>
    </row>
    <row r="139" ht="15.0" customHeight="1">
      <c r="A139" s="22" t="s">
        <v>29</v>
      </c>
      <c r="B139" s="22" t="s">
        <v>216</v>
      </c>
      <c r="C139" s="22" t="s">
        <v>61</v>
      </c>
      <c r="D139" s="22" t="s">
        <v>282</v>
      </c>
      <c r="E139" s="22" t="s">
        <v>283</v>
      </c>
      <c r="F139" s="23">
        <v>764.0</v>
      </c>
      <c r="G139" s="23">
        <v>21.0</v>
      </c>
      <c r="H139" s="23">
        <v>215.0</v>
      </c>
      <c r="I139" s="24">
        <v>4.09</v>
      </c>
      <c r="J139" s="25">
        <v>41.9</v>
      </c>
      <c r="K139" s="26">
        <v>0.04</v>
      </c>
      <c r="L139" s="25">
        <v>12.9</v>
      </c>
      <c r="M139" s="25">
        <v>5.9</v>
      </c>
      <c r="N139" s="26">
        <v>0.54</v>
      </c>
      <c r="O139" s="27">
        <v>1.49135</v>
      </c>
      <c r="P139" s="28">
        <f t="array" ref="P139">I139/MAX(IF($A$2:$A$146=A139,$I$2:$I$146))</f>
        <v>0.8795698925</v>
      </c>
      <c r="Q139" s="28">
        <f t="array" ref="Q139">J139/MAX(IF($A$2:$A$146=A139,$J$2:$J$146))</f>
        <v>0.7920604915</v>
      </c>
      <c r="R139" s="28">
        <f t="array" ref="R139">K139/MAX(IF($A$2:$A$146=A139,$K$2:$K$146))</f>
        <v>0.8</v>
      </c>
      <c r="S139" s="28">
        <f t="array" ref="S139">L139/MAX(IF($A$2:$A$146=A139,$L$2:$L$146))</f>
        <v>0.446366782</v>
      </c>
      <c r="T139" s="28">
        <f t="array" ref="T139">M139/MAX(IF($A$2:$A$146=A139,$M$2:$M$146))</f>
        <v>0.3575757576</v>
      </c>
      <c r="U139" s="28">
        <f t="array" ref="U139">N139/MAX(IF($A$2:$A$146=A139,$N$2:$N$146))</f>
        <v>0.8181818182</v>
      </c>
      <c r="V139" s="28">
        <f t="array" ref="V139">MIN(IF($A$2:$A$146=A139,$O$2:$O$146))/O139</f>
        <v>0.9897743655</v>
      </c>
    </row>
    <row r="140" ht="15.0" customHeight="1">
      <c r="A140" s="22" t="s">
        <v>32</v>
      </c>
      <c r="B140" s="22" t="s">
        <v>216</v>
      </c>
      <c r="C140" s="22" t="s">
        <v>61</v>
      </c>
      <c r="D140" s="22" t="s">
        <v>284</v>
      </c>
      <c r="E140" s="22" t="s">
        <v>285</v>
      </c>
      <c r="F140" s="23">
        <v>833.0</v>
      </c>
      <c r="G140" s="23">
        <v>17.0</v>
      </c>
      <c r="H140" s="23">
        <v>150.0</v>
      </c>
      <c r="I140" s="24">
        <v>3.95</v>
      </c>
      <c r="J140" s="25">
        <v>34.7</v>
      </c>
      <c r="K140" s="26">
        <v>0.03</v>
      </c>
      <c r="L140" s="25">
        <v>1.3</v>
      </c>
      <c r="M140" s="25">
        <v>2.9</v>
      </c>
      <c r="N140" s="26">
        <v>0.34</v>
      </c>
      <c r="O140" s="27">
        <v>1.50335</v>
      </c>
      <c r="P140" s="28">
        <f t="array" ref="P140">I140/MAX(IF($A$2:$A$146=A140,$I$2:$I$146))</f>
        <v>0.8605664488</v>
      </c>
      <c r="Q140" s="28">
        <f t="array" ref="Q140">J140/MAX(IF($A$2:$A$146=A140,$J$2:$J$146))</f>
        <v>0.3562628337</v>
      </c>
      <c r="R140" s="28">
        <f t="array" ref="R140">K140/MAX(IF($A$2:$A$146=A140,$K$2:$K$146))</f>
        <v>0.75</v>
      </c>
      <c r="S140" s="28">
        <f t="array" ref="S140">L140/MAX(IF($A$2:$A$146=A140,$L$2:$L$146))</f>
        <v>0.07514450867</v>
      </c>
      <c r="T140" s="28">
        <f t="array" ref="T140">M140/MAX(IF($A$2:$A$146=A140,$M$2:$M$146))</f>
        <v>0.1676300578</v>
      </c>
      <c r="U140" s="28">
        <f t="array" ref="U140">N140/MAX(IF($A$2:$A$146=A140,$N$2:$N$146))</f>
        <v>0.6296296296</v>
      </c>
      <c r="V140" s="28">
        <f t="array" ref="V140">MIN(IF($A$2:$A$146=A140,$O$2:$O$146))/O140</f>
        <v>0.9817407789</v>
      </c>
    </row>
    <row r="141" ht="15.0" customHeight="1">
      <c r="A141" s="22" t="s">
        <v>35</v>
      </c>
      <c r="B141" s="22" t="s">
        <v>216</v>
      </c>
      <c r="C141" s="22" t="s">
        <v>61</v>
      </c>
      <c r="D141" s="22" t="s">
        <v>286</v>
      </c>
      <c r="E141" s="22" t="s">
        <v>287</v>
      </c>
      <c r="F141" s="23">
        <v>831.0</v>
      </c>
      <c r="G141" s="23">
        <v>18.0</v>
      </c>
      <c r="H141" s="23">
        <v>151.0</v>
      </c>
      <c r="I141" s="24">
        <v>3.98</v>
      </c>
      <c r="J141" s="25">
        <v>32.7</v>
      </c>
      <c r="K141" s="26">
        <v>0.02</v>
      </c>
      <c r="L141" s="25">
        <v>2.9</v>
      </c>
      <c r="M141" s="25">
        <v>3.5</v>
      </c>
      <c r="N141" s="26">
        <v>0.24</v>
      </c>
      <c r="O141" s="27">
        <v>1.50835</v>
      </c>
      <c r="P141" s="28">
        <f t="array" ref="P141">I141/MAX(IF($A$2:$A$146=A141,$I$2:$I$146))</f>
        <v>0.9234338747</v>
      </c>
      <c r="Q141" s="28">
        <f t="array" ref="Q141">J141/MAX(IF($A$2:$A$146=A141,$J$2:$J$146))</f>
        <v>0.656626506</v>
      </c>
      <c r="R141" s="28">
        <f t="array" ref="R141">K141/MAX(IF($A$2:$A$146=A141,$K$2:$K$146))</f>
        <v>0.5</v>
      </c>
      <c r="S141" s="28">
        <f t="array" ref="S141">L141/MAX(IF($A$2:$A$146=A141,$L$2:$L$146))</f>
        <v>0.5</v>
      </c>
      <c r="T141" s="28">
        <f t="array" ref="T141">M141/MAX(IF($A$2:$A$146=A141,$M$2:$M$146))</f>
        <v>0.2243589744</v>
      </c>
      <c r="U141" s="28">
        <f t="array" ref="U141">N141/MAX(IF($A$2:$A$146=A141,$N$2:$N$146))</f>
        <v>0.4897959184</v>
      </c>
      <c r="V141" s="28">
        <f t="array" ref="V141">MIN(IF($A$2:$A$146=A141,$O$2:$O$146))/O141</f>
        <v>0.9851824842</v>
      </c>
    </row>
    <row r="142" ht="15.0" customHeight="1">
      <c r="A142" s="22" t="s">
        <v>22</v>
      </c>
      <c r="B142" s="22" t="s">
        <v>216</v>
      </c>
      <c r="C142" s="22" t="s">
        <v>70</v>
      </c>
      <c r="D142" s="22" t="s">
        <v>70</v>
      </c>
      <c r="E142" s="22" t="s">
        <v>288</v>
      </c>
      <c r="F142" s="23">
        <v>920.0</v>
      </c>
      <c r="G142" s="23">
        <v>30.0</v>
      </c>
      <c r="H142" s="23">
        <v>50.0</v>
      </c>
      <c r="I142" s="24">
        <v>4.27</v>
      </c>
      <c r="J142" s="25">
        <v>41.6</v>
      </c>
      <c r="K142" s="26">
        <v>0.06</v>
      </c>
      <c r="L142" s="25">
        <v>4.4</v>
      </c>
      <c r="M142" s="25">
        <v>9.8</v>
      </c>
      <c r="N142" s="26">
        <v>0.71</v>
      </c>
      <c r="O142" s="27">
        <v>1.6014</v>
      </c>
      <c r="P142" s="28">
        <f t="array" ref="P142">I142/MAX(IF($A$2:$A$146=A142,$I$2:$I$146))</f>
        <v>0.8557114228</v>
      </c>
      <c r="Q142" s="28">
        <f t="array" ref="Q142">J142/MAX(IF($A$2:$A$146=A142,$J$2:$J$146))</f>
        <v>0.5180572852</v>
      </c>
      <c r="R142" s="28">
        <f t="array" ref="R142">K142/MAX(IF($A$2:$A$146=A142,$K$2:$K$146))</f>
        <v>0.6</v>
      </c>
      <c r="S142" s="28">
        <f t="array" ref="S142">L142/MAX(IF($A$2:$A$146=A142,$L$2:$L$146))</f>
        <v>0.55</v>
      </c>
      <c r="T142" s="28">
        <f t="array" ref="T142">M142/MAX(IF($A$2:$A$146=A142,$M$2:$M$146))</f>
        <v>0.2808022923</v>
      </c>
      <c r="U142" s="28">
        <f t="array" ref="U142">N142/MAX(IF($A$2:$A$146=A142,$N$2:$N$146))</f>
        <v>0.5546875</v>
      </c>
      <c r="V142" s="28">
        <f t="array" ref="V142">MIN(IF($A$2:$A$146=A142,$O$2:$O$146))/O142</f>
        <v>0.9441426252</v>
      </c>
    </row>
    <row r="143" ht="15.0" customHeight="1">
      <c r="A143" s="22" t="s">
        <v>26</v>
      </c>
      <c r="B143" s="22" t="s">
        <v>216</v>
      </c>
      <c r="C143" s="22" t="s">
        <v>70</v>
      </c>
      <c r="D143" s="22" t="s">
        <v>289</v>
      </c>
      <c r="E143" s="22" t="s">
        <v>290</v>
      </c>
      <c r="F143" s="23">
        <v>886.0</v>
      </c>
      <c r="G143" s="23">
        <v>13.0</v>
      </c>
      <c r="H143" s="23">
        <v>101.0</v>
      </c>
      <c r="I143" s="24">
        <v>4.34</v>
      </c>
      <c r="J143" s="25">
        <v>33.9</v>
      </c>
      <c r="K143" s="26">
        <v>0.03</v>
      </c>
      <c r="L143" s="25">
        <v>5.1</v>
      </c>
      <c r="M143" s="25">
        <v>9.2</v>
      </c>
      <c r="N143" s="26">
        <v>0.41</v>
      </c>
      <c r="O143" s="27">
        <v>1.5744</v>
      </c>
      <c r="P143" s="28">
        <f t="array" ref="P143">I143/MAX(IF($A$2:$A$146=A143,$I$2:$I$146))</f>
        <v>0.8911704312</v>
      </c>
      <c r="Q143" s="28">
        <f t="array" ref="Q143">J143/MAX(IF($A$2:$A$146=A143,$J$2:$J$146))</f>
        <v>0.5389507154</v>
      </c>
      <c r="R143" s="28">
        <f t="array" ref="R143">K143/MAX(IF($A$2:$A$146=A143,$K$2:$K$146))</f>
        <v>0.375</v>
      </c>
      <c r="S143" s="28">
        <f t="array" ref="S143">L143/MAX(IF($A$2:$A$146=A143,$L$2:$L$146))</f>
        <v>0.85</v>
      </c>
      <c r="T143" s="28">
        <f t="array" ref="T143">M143/MAX(IF($A$2:$A$146=A143,$M$2:$M$146))</f>
        <v>0.3770491803</v>
      </c>
      <c r="U143" s="28">
        <f t="array" ref="U143">N143/MAX(IF($A$2:$A$146=A143,$N$2:$N$146))</f>
        <v>0.3596491228</v>
      </c>
      <c r="V143" s="28">
        <f t="array" ref="V143">MIN(IF($A$2:$A$146=A143,$O$2:$O$146))/O143</f>
        <v>0.948964685</v>
      </c>
    </row>
    <row r="144" ht="15.0" customHeight="1">
      <c r="A144" s="22" t="s">
        <v>29</v>
      </c>
      <c r="B144" s="22" t="s">
        <v>216</v>
      </c>
      <c r="C144" s="22" t="s">
        <v>70</v>
      </c>
      <c r="D144" s="22" t="s">
        <v>291</v>
      </c>
      <c r="E144" s="22" t="s">
        <v>292</v>
      </c>
      <c r="F144" s="23">
        <v>877.0</v>
      </c>
      <c r="G144" s="23">
        <v>22.0</v>
      </c>
      <c r="H144" s="23">
        <v>100.0</v>
      </c>
      <c r="I144" s="24">
        <v>4.12</v>
      </c>
      <c r="J144" s="25">
        <v>32.5</v>
      </c>
      <c r="K144" s="26">
        <v>0.02</v>
      </c>
      <c r="L144" s="25">
        <v>11.8</v>
      </c>
      <c r="M144" s="25">
        <v>4.8</v>
      </c>
      <c r="N144" s="26">
        <v>0.31</v>
      </c>
      <c r="O144" s="27">
        <v>1.5429</v>
      </c>
      <c r="P144" s="28">
        <f t="array" ref="P144">I144/MAX(IF($A$2:$A$146=A144,$I$2:$I$146))</f>
        <v>0.8860215054</v>
      </c>
      <c r="Q144" s="28">
        <f t="array" ref="Q144">J144/MAX(IF($A$2:$A$146=A144,$J$2:$J$146))</f>
        <v>0.6143667297</v>
      </c>
      <c r="R144" s="28">
        <f t="array" ref="R144">K144/MAX(IF($A$2:$A$146=A144,$K$2:$K$146))</f>
        <v>0.4</v>
      </c>
      <c r="S144" s="28">
        <f t="array" ref="S144">L144/MAX(IF($A$2:$A$146=A144,$L$2:$L$146))</f>
        <v>0.4083044983</v>
      </c>
      <c r="T144" s="28">
        <f t="array" ref="T144">M144/MAX(IF($A$2:$A$146=A144,$M$2:$M$146))</f>
        <v>0.2909090909</v>
      </c>
      <c r="U144" s="28">
        <f t="array" ref="U144">N144/MAX(IF($A$2:$A$146=A144,$N$2:$N$146))</f>
        <v>0.4696969697</v>
      </c>
      <c r="V144" s="28">
        <f t="array" ref="V144">MIN(IF($A$2:$A$146=A144,$O$2:$O$146))/O144</f>
        <v>0.9567049063</v>
      </c>
    </row>
    <row r="145" ht="15.0" customHeight="1">
      <c r="A145" s="22" t="s">
        <v>32</v>
      </c>
      <c r="B145" s="22" t="s">
        <v>216</v>
      </c>
      <c r="C145" s="22" t="s">
        <v>70</v>
      </c>
      <c r="D145" s="22" t="s">
        <v>293</v>
      </c>
      <c r="E145" s="22" t="s">
        <v>294</v>
      </c>
      <c r="F145" s="23">
        <v>858.0</v>
      </c>
      <c r="G145" s="23">
        <v>16.0</v>
      </c>
      <c r="H145" s="23">
        <v>126.0</v>
      </c>
      <c r="I145" s="24">
        <v>3.94</v>
      </c>
      <c r="J145" s="25">
        <v>30.1</v>
      </c>
      <c r="K145" s="26">
        <v>0.02</v>
      </c>
      <c r="L145" s="25">
        <v>1.1</v>
      </c>
      <c r="M145" s="25">
        <v>2.7</v>
      </c>
      <c r="N145" s="26">
        <v>0.28</v>
      </c>
      <c r="O145" s="27">
        <v>1.51445</v>
      </c>
      <c r="P145" s="28">
        <f t="array" ref="P145">I145/MAX(IF($A$2:$A$146=A145,$I$2:$I$146))</f>
        <v>0.8583877996</v>
      </c>
      <c r="Q145" s="28">
        <f t="array" ref="Q145">J145/MAX(IF($A$2:$A$146=A145,$J$2:$J$146))</f>
        <v>0.3090349076</v>
      </c>
      <c r="R145" s="28">
        <f t="array" ref="R145">K145/MAX(IF($A$2:$A$146=A145,$K$2:$K$146))</f>
        <v>0.5</v>
      </c>
      <c r="S145" s="28">
        <f t="array" ref="S145">L145/MAX(IF($A$2:$A$146=A145,$L$2:$L$146))</f>
        <v>0.06358381503</v>
      </c>
      <c r="T145" s="28">
        <f t="array" ref="T145">M145/MAX(IF($A$2:$A$146=A145,$M$2:$M$146))</f>
        <v>0.1560693642</v>
      </c>
      <c r="U145" s="28">
        <f t="array" ref="U145">N145/MAX(IF($A$2:$A$146=A145,$N$2:$N$146))</f>
        <v>0.5185185185</v>
      </c>
      <c r="V145" s="28">
        <f t="array" ref="V145">MIN(IF($A$2:$A$146=A145,$O$2:$O$146))/O145</f>
        <v>0.9745452144</v>
      </c>
    </row>
    <row r="146" ht="15.0" customHeight="1">
      <c r="A146" s="22" t="s">
        <v>35</v>
      </c>
      <c r="B146" s="22" t="s">
        <v>216</v>
      </c>
      <c r="C146" s="22" t="s">
        <v>70</v>
      </c>
      <c r="D146" s="22" t="s">
        <v>295</v>
      </c>
      <c r="E146" s="22" t="s">
        <v>296</v>
      </c>
      <c r="F146" s="23">
        <v>854.0</v>
      </c>
      <c r="G146" s="23">
        <v>20.0</v>
      </c>
      <c r="H146" s="23">
        <v>126.0</v>
      </c>
      <c r="I146" s="24">
        <v>4.01</v>
      </c>
      <c r="J146" s="25">
        <v>28.9</v>
      </c>
      <c r="K146" s="26">
        <v>0.02</v>
      </c>
      <c r="L146" s="25">
        <v>3.1</v>
      </c>
      <c r="M146" s="25">
        <v>2.6</v>
      </c>
      <c r="N146" s="26">
        <v>0.23</v>
      </c>
      <c r="O146" s="27">
        <v>1.5142</v>
      </c>
      <c r="P146" s="28">
        <f t="array" ref="P146">I146/MAX(IF($A$2:$A$146=A146,$I$2:$I$146))</f>
        <v>0.9303944316</v>
      </c>
      <c r="Q146" s="28">
        <f t="array" ref="Q146">J146/MAX(IF($A$2:$A$146=A146,$J$2:$J$146))</f>
        <v>0.5803212851</v>
      </c>
      <c r="R146" s="28">
        <f t="array" ref="R146">K146/MAX(IF($A$2:$A$146=A146,$K$2:$K$146))</f>
        <v>0.5</v>
      </c>
      <c r="S146" s="28">
        <f t="array" ref="S146">L146/MAX(IF($A$2:$A$146=A146,$L$2:$L$146))</f>
        <v>0.5344827586</v>
      </c>
      <c r="T146" s="28">
        <f t="array" ref="T146">M146/MAX(IF($A$2:$A$146=A146,$M$2:$M$146))</f>
        <v>0.1666666667</v>
      </c>
      <c r="U146" s="28">
        <f t="array" ref="U146">N146/MAX(IF($A$2:$A$146=A146,$N$2:$N$146))</f>
        <v>0.4693877551</v>
      </c>
      <c r="V146" s="28">
        <f t="array" ref="V146">MIN(IF($A$2:$A$146=A146,$O$2:$O$146))/O146</f>
        <v>0.9813763043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28.0"/>
    <col customWidth="1" min="4" max="6" width="12.0"/>
    <col customWidth="1" min="7" max="26" width="8.71"/>
  </cols>
  <sheetData>
    <row r="1" ht="15.0" customHeight="1">
      <c r="A1" s="1" t="s">
        <v>297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</row>
    <row r="2" ht="15.0" customHeight="1">
      <c r="A2" s="23" t="s">
        <v>303</v>
      </c>
      <c r="B2" s="24">
        <v>0.33</v>
      </c>
      <c r="C2" s="23" t="s">
        <v>304</v>
      </c>
      <c r="D2" s="24">
        <v>1.0</v>
      </c>
      <c r="E2" s="23" t="s">
        <v>305</v>
      </c>
      <c r="F2" s="24">
        <v>1.0</v>
      </c>
    </row>
    <row r="3" ht="15.0" customHeight="1">
      <c r="A3" s="4" t="s">
        <v>306</v>
      </c>
      <c r="B3" s="5">
        <v>0.33</v>
      </c>
      <c r="C3" s="4" t="s">
        <v>307</v>
      </c>
      <c r="D3" s="5">
        <v>1.0</v>
      </c>
      <c r="E3" s="4" t="s">
        <v>13</v>
      </c>
      <c r="F3" s="5">
        <v>1.0</v>
      </c>
    </row>
    <row r="4" ht="15.0" customHeight="1">
      <c r="A4" s="16" t="s">
        <v>308</v>
      </c>
      <c r="B4" s="17">
        <v>0.33</v>
      </c>
      <c r="C4" s="16" t="s">
        <v>309</v>
      </c>
      <c r="D4" s="17">
        <v>0.33</v>
      </c>
      <c r="E4" s="16" t="s">
        <v>8</v>
      </c>
      <c r="F4" s="17">
        <v>1.0</v>
      </c>
    </row>
    <row r="5" ht="15.0" customHeight="1">
      <c r="A5" s="16"/>
      <c r="B5" s="16"/>
      <c r="C5" s="16" t="s">
        <v>310</v>
      </c>
      <c r="D5" s="17">
        <v>0.33</v>
      </c>
      <c r="E5" s="16" t="s">
        <v>9</v>
      </c>
      <c r="F5" s="17">
        <v>1.0</v>
      </c>
    </row>
    <row r="6" ht="15.0" customHeight="1">
      <c r="A6" s="16"/>
      <c r="B6" s="16"/>
      <c r="C6" s="16" t="s">
        <v>311</v>
      </c>
      <c r="D6" s="17">
        <v>0.33</v>
      </c>
      <c r="E6" s="16" t="s">
        <v>10</v>
      </c>
      <c r="F6" s="17">
        <v>0.33</v>
      </c>
    </row>
    <row r="7" ht="15.0" customHeight="1">
      <c r="A7" s="16"/>
      <c r="B7" s="16"/>
      <c r="C7" s="16"/>
      <c r="D7" s="16"/>
      <c r="E7" s="16" t="s">
        <v>11</v>
      </c>
      <c r="F7" s="17">
        <v>0.33</v>
      </c>
    </row>
    <row r="8" ht="15.0" customHeight="1">
      <c r="A8" s="16"/>
      <c r="B8" s="16"/>
      <c r="C8" s="16"/>
      <c r="D8" s="16"/>
      <c r="E8" s="16" t="s">
        <v>12</v>
      </c>
      <c r="F8" s="17">
        <v>0.33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3" width="9.0"/>
    <col customWidth="1" min="4" max="5" width="13.0"/>
    <col customWidth="1" min="6" max="6" width="14.0"/>
    <col customWidth="1" min="7" max="8" width="12.0"/>
    <col customWidth="1" min="9" max="9" width="14.0"/>
    <col customWidth="1" min="10" max="10" width="13.0"/>
    <col customWidth="1" min="11" max="11" width="11.0"/>
    <col customWidth="1" min="12" max="12" width="13.0"/>
    <col customWidth="1" min="13" max="26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2" t="s">
        <v>317</v>
      </c>
      <c r="K1" s="2" t="s">
        <v>318</v>
      </c>
      <c r="L1" s="29" t="s">
        <v>319</v>
      </c>
    </row>
    <row r="2" ht="15.0" customHeight="1">
      <c r="A2" s="4" t="s">
        <v>22</v>
      </c>
      <c r="B2" s="4" t="s">
        <v>23</v>
      </c>
      <c r="C2" s="3" t="s">
        <v>24</v>
      </c>
      <c r="D2" s="4" t="s">
        <v>24</v>
      </c>
      <c r="E2" s="30">
        <f>Data_Scores!V2*0.33</f>
        <v>0.3195078765</v>
      </c>
      <c r="F2" s="30">
        <f>Data_Scores!U2*0.33</f>
        <v>0.203671875</v>
      </c>
      <c r="G2" s="30">
        <f>Data_Scores!P2*0.33*0.33</f>
        <v>0.0846757515</v>
      </c>
      <c r="H2" s="30">
        <f>Data_Scores!Q2*0.33*0.33</f>
        <v>0.07770821918</v>
      </c>
      <c r="I2" s="30">
        <f>(Data_Scores!R2+Data_Scores!S2+Data_Scores!T2)*0.33*0.33*0.33</f>
        <v>0.05100556945</v>
      </c>
      <c r="J2" s="31">
        <f t="shared" ref="J2:J146" si="1">G2+H2+I2</f>
        <v>0.2133895401</v>
      </c>
      <c r="K2" s="32">
        <f t="shared" ref="K2:K146" si="2">E2+F2+J2</f>
        <v>0.7365692917</v>
      </c>
      <c r="L2" s="33">
        <f>(K2+K3+K4+K5+K6)*0.2</f>
        <v>0.8258483041</v>
      </c>
    </row>
    <row r="3" ht="15.0" customHeight="1">
      <c r="A3" s="4" t="s">
        <v>26</v>
      </c>
      <c r="B3" s="4" t="s">
        <v>23</v>
      </c>
      <c r="C3" s="3" t="s">
        <v>24</v>
      </c>
      <c r="D3" s="4" t="s">
        <v>27</v>
      </c>
      <c r="E3" s="30">
        <f>Data_Scores!V3*0.33</f>
        <v>0.3240995892</v>
      </c>
      <c r="F3" s="30">
        <f>Data_Scores!U3*0.33</f>
        <v>0.2026315789</v>
      </c>
      <c r="G3" s="30">
        <f>Data_Scores!P3*0.33*0.33</f>
        <v>0.08720944559</v>
      </c>
      <c r="H3" s="30">
        <f>Data_Scores!Q3*0.33*0.33</f>
        <v>0.1002434022</v>
      </c>
      <c r="I3" s="30">
        <f>(Data_Scores!R3+Data_Scores!S3+Data_Scores!T3)*0.33*0.33*0.33</f>
        <v>0.06443621926</v>
      </c>
      <c r="J3" s="31">
        <f t="shared" si="1"/>
        <v>0.2518890671</v>
      </c>
      <c r="K3" s="32">
        <f t="shared" si="2"/>
        <v>0.7786202352</v>
      </c>
      <c r="L3" s="34"/>
    </row>
    <row r="4" ht="15.0" customHeight="1">
      <c r="A4" s="4" t="s">
        <v>29</v>
      </c>
      <c r="B4" s="4" t="s">
        <v>23</v>
      </c>
      <c r="C4" s="3" t="s">
        <v>24</v>
      </c>
      <c r="D4" s="4" t="s">
        <v>30</v>
      </c>
      <c r="E4" s="30">
        <f>Data_Scores!V4*0.33</f>
        <v>0.3266693492</v>
      </c>
      <c r="F4" s="30">
        <f>Data_Scores!U4*0.33</f>
        <v>0.33</v>
      </c>
      <c r="G4" s="30">
        <f>Data_Scores!P4*0.33*0.33</f>
        <v>0.08969612903</v>
      </c>
      <c r="H4" s="30">
        <f>Data_Scores!Q4*0.33*0.33</f>
        <v>0.1089</v>
      </c>
      <c r="I4" s="30">
        <f>(Data_Scores!R4+Data_Scores!S4+Data_Scores!T4)*0.33*0.33*0.33</f>
        <v>0.0487826782</v>
      </c>
      <c r="J4" s="31">
        <f t="shared" si="1"/>
        <v>0.2473788072</v>
      </c>
      <c r="K4" s="32">
        <f t="shared" si="2"/>
        <v>0.9040481564</v>
      </c>
      <c r="L4" s="34"/>
    </row>
    <row r="5" ht="15.0" customHeight="1">
      <c r="A5" s="4" t="s">
        <v>32</v>
      </c>
      <c r="B5" s="4" t="s">
        <v>23</v>
      </c>
      <c r="C5" s="3" t="s">
        <v>24</v>
      </c>
      <c r="D5" s="4" t="s">
        <v>33</v>
      </c>
      <c r="E5" s="30">
        <f>Data_Scores!V5*0.33</f>
        <v>0.3280219558</v>
      </c>
      <c r="F5" s="30">
        <f>Data_Scores!U5*0.33</f>
        <v>0.3177777778</v>
      </c>
      <c r="G5" s="30">
        <f>Data_Scores!P5*0.33*0.33</f>
        <v>0.09039411765</v>
      </c>
      <c r="H5" s="30">
        <f>Data_Scores!Q5*0.33*0.33</f>
        <v>0.05914589322</v>
      </c>
      <c r="I5" s="30">
        <f>(Data_Scores!R5+Data_Scores!S5+Data_Scores!T5)*0.33*0.33*0.33</f>
        <v>0.04279203468</v>
      </c>
      <c r="J5" s="31">
        <f t="shared" si="1"/>
        <v>0.1923320456</v>
      </c>
      <c r="K5" s="32">
        <f t="shared" si="2"/>
        <v>0.8381317791</v>
      </c>
      <c r="L5" s="34"/>
    </row>
    <row r="6" ht="15.0" customHeight="1">
      <c r="A6" s="4" t="s">
        <v>35</v>
      </c>
      <c r="B6" s="4" t="s">
        <v>23</v>
      </c>
      <c r="C6" s="3" t="s">
        <v>24</v>
      </c>
      <c r="D6" s="4" t="s">
        <v>36</v>
      </c>
      <c r="E6" s="30">
        <f>Data_Scores!V6*0.33</f>
        <v>0.33</v>
      </c>
      <c r="F6" s="30">
        <f>Data_Scores!U6*0.33</f>
        <v>0.2693877551</v>
      </c>
      <c r="G6" s="30">
        <f>Data_Scores!P6*0.33*0.33</f>
        <v>0.09702459397</v>
      </c>
      <c r="H6" s="30">
        <f>Data_Scores!Q6*0.33*0.33</f>
        <v>0.1089</v>
      </c>
      <c r="I6" s="30">
        <f>(Data_Scores!R6+Data_Scores!S6+Data_Scores!T6)*0.33*0.33*0.33</f>
        <v>0.06655970889</v>
      </c>
      <c r="J6" s="31">
        <f t="shared" si="1"/>
        <v>0.2724843029</v>
      </c>
      <c r="K6" s="32">
        <f t="shared" si="2"/>
        <v>0.871872058</v>
      </c>
      <c r="L6" s="34"/>
    </row>
    <row r="7" ht="15.0" customHeight="1">
      <c r="A7" s="4" t="s">
        <v>22</v>
      </c>
      <c r="B7" s="4" t="s">
        <v>23</v>
      </c>
      <c r="C7" s="3" t="s">
        <v>38</v>
      </c>
      <c r="D7" s="4" t="s">
        <v>38</v>
      </c>
      <c r="E7" s="30">
        <f>Data_Scores!V7*0.33</f>
        <v>0.2832572596</v>
      </c>
      <c r="F7" s="30">
        <f>Data_Scores!U7*0.33</f>
        <v>0.25265625</v>
      </c>
      <c r="G7" s="30">
        <f>Data_Scores!P7*0.33*0.33</f>
        <v>0.1078088176</v>
      </c>
      <c r="H7" s="30">
        <f>Data_Scores!Q7*0.33*0.33</f>
        <v>0.08367534247</v>
      </c>
      <c r="I7" s="30">
        <f>(Data_Scores!R7+Data_Scores!S7+Data_Scores!T7)*0.33*0.33*0.33</f>
        <v>0.0970299</v>
      </c>
      <c r="J7" s="31">
        <f t="shared" si="1"/>
        <v>0.2885140601</v>
      </c>
      <c r="K7" s="32">
        <f t="shared" si="2"/>
        <v>0.8244275697</v>
      </c>
      <c r="L7" s="33">
        <f>(K7+K8+K9+K10+K11)*0.2</f>
        <v>0.7604661422</v>
      </c>
    </row>
    <row r="8" ht="15.0" customHeight="1">
      <c r="A8" s="4" t="s">
        <v>26</v>
      </c>
      <c r="B8" s="4" t="s">
        <v>23</v>
      </c>
      <c r="C8" s="3" t="s">
        <v>38</v>
      </c>
      <c r="D8" s="4" t="s">
        <v>40</v>
      </c>
      <c r="E8" s="30">
        <f>Data_Scores!V8*0.33</f>
        <v>0.2937188729</v>
      </c>
      <c r="F8" s="30">
        <f>Data_Scores!U8*0.33</f>
        <v>0.2286842105</v>
      </c>
      <c r="G8" s="30">
        <f>Data_Scores!P8*0.33*0.33</f>
        <v>0.1062166324</v>
      </c>
      <c r="H8" s="30">
        <f>Data_Scores!Q8*0.33*0.33</f>
        <v>0.09383751987</v>
      </c>
      <c r="I8" s="30">
        <f>(Data_Scores!R8+Data_Scores!S8+Data_Scores!T8)*0.33*0.33*0.33</f>
        <v>0.0934362</v>
      </c>
      <c r="J8" s="31">
        <f t="shared" si="1"/>
        <v>0.2934903523</v>
      </c>
      <c r="K8" s="32">
        <f t="shared" si="2"/>
        <v>0.8158934357</v>
      </c>
      <c r="L8" s="34"/>
    </row>
    <row r="9" ht="15.0" customHeight="1">
      <c r="A9" s="4" t="s">
        <v>29</v>
      </c>
      <c r="B9" s="4" t="s">
        <v>23</v>
      </c>
      <c r="C9" s="3" t="s">
        <v>38</v>
      </c>
      <c r="D9" s="4" t="s">
        <v>42</v>
      </c>
      <c r="E9" s="30">
        <f>Data_Scores!V9*0.33</f>
        <v>0.3018048327</v>
      </c>
      <c r="F9" s="30">
        <f>Data_Scores!U9*0.33</f>
        <v>0.2</v>
      </c>
      <c r="G9" s="30">
        <f>Data_Scores!P9*0.33*0.33</f>
        <v>0.1089</v>
      </c>
      <c r="H9" s="30">
        <f>Data_Scores!Q9*0.33*0.33</f>
        <v>0.07328620038</v>
      </c>
      <c r="I9" s="30">
        <f>(Data_Scores!R9+Data_Scores!S9+Data_Scores!T9)*0.33*0.33*0.33</f>
        <v>0.05964177924</v>
      </c>
      <c r="J9" s="31">
        <f t="shared" si="1"/>
        <v>0.2418279796</v>
      </c>
      <c r="K9" s="32">
        <f t="shared" si="2"/>
        <v>0.7436328123</v>
      </c>
      <c r="L9" s="34"/>
    </row>
    <row r="10" ht="15.0" customHeight="1">
      <c r="A10" s="4" t="s">
        <v>32</v>
      </c>
      <c r="B10" s="4" t="s">
        <v>23</v>
      </c>
      <c r="C10" s="3" t="s">
        <v>38</v>
      </c>
      <c r="D10" s="4" t="s">
        <v>44</v>
      </c>
      <c r="E10" s="30">
        <f>Data_Scores!V10*0.33</f>
        <v>0.3018948739</v>
      </c>
      <c r="F10" s="30">
        <f>Data_Scores!U10*0.33</f>
        <v>0.165</v>
      </c>
      <c r="G10" s="30">
        <f>Data_Scores!P10*0.33*0.33</f>
        <v>0.1089</v>
      </c>
      <c r="H10" s="30">
        <f>Data_Scores!Q10*0.33*0.33</f>
        <v>0.03622546201</v>
      </c>
      <c r="I10" s="30">
        <f>(Data_Scores!R10+Data_Scores!S10+Data_Scores!T10)*0.33*0.33*0.33</f>
        <v>0.06117599133</v>
      </c>
      <c r="J10" s="31">
        <f t="shared" si="1"/>
        <v>0.2063014533</v>
      </c>
      <c r="K10" s="32">
        <f t="shared" si="2"/>
        <v>0.6731963272</v>
      </c>
      <c r="L10" s="34"/>
    </row>
    <row r="11" ht="15.0" customHeight="1">
      <c r="A11" s="4" t="s">
        <v>35</v>
      </c>
      <c r="B11" s="4" t="s">
        <v>23</v>
      </c>
      <c r="C11" s="3" t="s">
        <v>38</v>
      </c>
      <c r="D11" s="4" t="s">
        <v>46</v>
      </c>
      <c r="E11" s="30">
        <f>Data_Scores!V11*0.33</f>
        <v>0.3072267644</v>
      </c>
      <c r="F11" s="30">
        <f>Data_Scores!U11*0.33</f>
        <v>0.2087755102</v>
      </c>
      <c r="G11" s="30">
        <f>Data_Scores!P11*0.33*0.33</f>
        <v>0.1089</v>
      </c>
      <c r="H11" s="30">
        <f>Data_Scores!Q11*0.33*0.33</f>
        <v>0.06931987952</v>
      </c>
      <c r="I11" s="30">
        <f>(Data_Scores!R11+Data_Scores!S11+Data_Scores!T11)*0.33*0.33*0.33</f>
        <v>0.0509584118</v>
      </c>
      <c r="J11" s="31">
        <f t="shared" si="1"/>
        <v>0.2291782913</v>
      </c>
      <c r="K11" s="32">
        <f t="shared" si="2"/>
        <v>0.7451805659</v>
      </c>
      <c r="L11" s="34"/>
    </row>
    <row r="12" ht="15.0" customHeight="1">
      <c r="A12" s="4" t="s">
        <v>22</v>
      </c>
      <c r="B12" s="4" t="s">
        <v>23</v>
      </c>
      <c r="C12" s="3" t="s">
        <v>48</v>
      </c>
      <c r="D12" s="4" t="s">
        <v>48</v>
      </c>
      <c r="E12" s="30">
        <f>Data_Scores!V12*0.33</f>
        <v>0.3109747889</v>
      </c>
      <c r="F12" s="30">
        <f>Data_Scores!U12*0.33</f>
        <v>0.33</v>
      </c>
      <c r="G12" s="30">
        <f>Data_Scores!P12*0.33*0.33</f>
        <v>0.09755170341</v>
      </c>
      <c r="H12" s="30">
        <f>Data_Scores!Q12*0.33*0.33</f>
        <v>0.08150547945</v>
      </c>
      <c r="I12" s="30">
        <f>(Data_Scores!R12+Data_Scores!S12+Data_Scores!T12)*0.33*0.33*0.33</f>
        <v>0.06823782432</v>
      </c>
      <c r="J12" s="31">
        <f t="shared" si="1"/>
        <v>0.2472950072</v>
      </c>
      <c r="K12" s="32">
        <f t="shared" si="2"/>
        <v>0.888269796</v>
      </c>
      <c r="L12" s="33">
        <f>(K12+K13+K14+K15+K16)*0.2</f>
        <v>0.8543348418</v>
      </c>
    </row>
    <row r="13" ht="15.0" customHeight="1">
      <c r="A13" s="4" t="s">
        <v>26</v>
      </c>
      <c r="B13" s="4" t="s">
        <v>23</v>
      </c>
      <c r="C13" s="3" t="s">
        <v>48</v>
      </c>
      <c r="D13" s="4" t="s">
        <v>50</v>
      </c>
      <c r="E13" s="30">
        <f>Data_Scores!V13*0.33</f>
        <v>0.3171060587</v>
      </c>
      <c r="F13" s="30">
        <f>Data_Scores!U13*0.33</f>
        <v>0.2663157895</v>
      </c>
      <c r="G13" s="30">
        <f>Data_Scores!P13*0.33*0.33</f>
        <v>0.0986137577</v>
      </c>
      <c r="H13" s="30">
        <f>Data_Scores!Q13*0.33*0.33</f>
        <v>0.08847042925</v>
      </c>
      <c r="I13" s="30">
        <f>(Data_Scores!R13+Data_Scores!S13+Data_Scores!T13)*0.33*0.33*0.33</f>
        <v>0.06262955041</v>
      </c>
      <c r="J13" s="31">
        <f t="shared" si="1"/>
        <v>0.2497137374</v>
      </c>
      <c r="K13" s="32">
        <f t="shared" si="2"/>
        <v>0.8331355855</v>
      </c>
      <c r="L13" s="34"/>
    </row>
    <row r="14" ht="15.0" customHeight="1">
      <c r="A14" s="4" t="s">
        <v>29</v>
      </c>
      <c r="B14" s="4" t="s">
        <v>23</v>
      </c>
      <c r="C14" s="3" t="s">
        <v>48</v>
      </c>
      <c r="D14" s="4" t="s">
        <v>52</v>
      </c>
      <c r="E14" s="30">
        <f>Data_Scores!V14*0.33</f>
        <v>0.3121518744</v>
      </c>
      <c r="F14" s="30">
        <f>Data_Scores!U14*0.33</f>
        <v>0.275</v>
      </c>
      <c r="G14" s="30">
        <f>Data_Scores!P14*0.33*0.33</f>
        <v>0.1011716129</v>
      </c>
      <c r="H14" s="30">
        <f>Data_Scores!Q14*0.33*0.33</f>
        <v>0.09078431002</v>
      </c>
      <c r="I14" s="30">
        <f>(Data_Scores!R14+Data_Scores!S14+Data_Scores!T14)*0.33*0.33*0.33</f>
        <v>0.0716426346</v>
      </c>
      <c r="J14" s="31">
        <f t="shared" si="1"/>
        <v>0.2635985575</v>
      </c>
      <c r="K14" s="32">
        <f t="shared" si="2"/>
        <v>0.8507504319</v>
      </c>
      <c r="L14" s="34"/>
    </row>
    <row r="15" ht="15.0" customHeight="1">
      <c r="A15" s="4" t="s">
        <v>32</v>
      </c>
      <c r="B15" s="4" t="s">
        <v>23</v>
      </c>
      <c r="C15" s="3" t="s">
        <v>48</v>
      </c>
      <c r="D15" s="4" t="s">
        <v>54</v>
      </c>
      <c r="E15" s="30">
        <f>Data_Scores!V15*0.33</f>
        <v>0.3141124117</v>
      </c>
      <c r="F15" s="30">
        <f>Data_Scores!U15*0.33</f>
        <v>0.2566666667</v>
      </c>
      <c r="G15" s="30">
        <f>Data_Scores!P15*0.33*0.33</f>
        <v>0.09964705882</v>
      </c>
      <c r="H15" s="30">
        <f>Data_Scores!Q15*0.33*0.33</f>
        <v>0.04729435318</v>
      </c>
      <c r="I15" s="30">
        <f>(Data_Scores!R15+Data_Scores!S15+Data_Scores!T15)*0.33*0.33*0.33</f>
        <v>0.05650210405</v>
      </c>
      <c r="J15" s="31">
        <f t="shared" si="1"/>
        <v>0.2034435161</v>
      </c>
      <c r="K15" s="32">
        <f t="shared" si="2"/>
        <v>0.7742225944</v>
      </c>
      <c r="L15" s="34"/>
    </row>
    <row r="16" ht="15.0" customHeight="1">
      <c r="A16" s="4" t="s">
        <v>35</v>
      </c>
      <c r="B16" s="4" t="s">
        <v>23</v>
      </c>
      <c r="C16" s="3" t="s">
        <v>48</v>
      </c>
      <c r="D16" s="4" t="s">
        <v>56</v>
      </c>
      <c r="E16" s="30">
        <f>Data_Scores!V16*0.33</f>
        <v>0.3147294782</v>
      </c>
      <c r="F16" s="30">
        <f>Data_Scores!U16*0.33</f>
        <v>0.33</v>
      </c>
      <c r="G16" s="30">
        <f>Data_Scores!P16*0.33*0.33</f>
        <v>0.10182529</v>
      </c>
      <c r="H16" s="30">
        <f>Data_Scores!Q16*0.33*0.33</f>
        <v>0.09403012048</v>
      </c>
      <c r="I16" s="30">
        <f>(Data_Scores!R16+Data_Scores!S16+Data_Scores!T16)*0.33*0.33*0.33</f>
        <v>0.08471091247</v>
      </c>
      <c r="J16" s="31">
        <f t="shared" si="1"/>
        <v>0.280566323</v>
      </c>
      <c r="K16" s="32">
        <f t="shared" si="2"/>
        <v>0.9252958012</v>
      </c>
      <c r="L16" s="34"/>
    </row>
    <row r="17" ht="15.0" customHeight="1">
      <c r="A17" s="4" t="s">
        <v>22</v>
      </c>
      <c r="B17" s="4" t="s">
        <v>23</v>
      </c>
      <c r="C17" s="3" t="s">
        <v>58</v>
      </c>
      <c r="D17" s="4" t="s">
        <v>58</v>
      </c>
      <c r="E17" s="30">
        <f>Data_Scores!V17*0.33</f>
        <v>0.3065045919</v>
      </c>
      <c r="F17" s="30">
        <f>Data_Scores!U17*0.33</f>
        <v>0.100546875</v>
      </c>
      <c r="G17" s="30">
        <f>Data_Scores!P17*0.33*0.33</f>
        <v>0.09122284569</v>
      </c>
      <c r="H17" s="30">
        <f>Data_Scores!Q17*0.33*0.33</f>
        <v>0.0495</v>
      </c>
      <c r="I17" s="30">
        <f>(Data_Scores!R17+Data_Scores!S17+Data_Scores!T17)*0.33*0.33*0.33</f>
        <v>0.03978684122</v>
      </c>
      <c r="J17" s="31">
        <f t="shared" si="1"/>
        <v>0.1805096869</v>
      </c>
      <c r="K17" s="32">
        <f t="shared" si="2"/>
        <v>0.5875611539</v>
      </c>
      <c r="L17" s="33">
        <f>(K17+K18+K19+K20+K21)*0.2</f>
        <v>0.6070035505</v>
      </c>
    </row>
    <row r="18" ht="15.0" customHeight="1">
      <c r="A18" s="4" t="s">
        <v>26</v>
      </c>
      <c r="B18" s="4" t="s">
        <v>23</v>
      </c>
      <c r="C18" s="3" t="s">
        <v>58</v>
      </c>
      <c r="D18" s="4" t="s">
        <v>60</v>
      </c>
      <c r="E18" s="30">
        <f>Data_Scores!V18*0.33</f>
        <v>0.3149688568</v>
      </c>
      <c r="F18" s="30">
        <f>Data_Scores!U18*0.33</f>
        <v>0.08394736842</v>
      </c>
      <c r="G18" s="30">
        <f>Data_Scores!P18*0.33*0.33</f>
        <v>0.09145811088</v>
      </c>
      <c r="H18" s="30">
        <f>Data_Scores!Q18*0.33*0.33</f>
        <v>0.05142019078</v>
      </c>
      <c r="I18" s="30">
        <f>(Data_Scores!R18+Data_Scores!S18+Data_Scores!T18)*0.33*0.33*0.33</f>
        <v>0.031444875</v>
      </c>
      <c r="J18" s="31">
        <f t="shared" si="1"/>
        <v>0.1743231767</v>
      </c>
      <c r="K18" s="32">
        <f t="shared" si="2"/>
        <v>0.5732394019</v>
      </c>
      <c r="L18" s="34"/>
    </row>
    <row r="19" ht="15.0" customHeight="1">
      <c r="A19" s="4" t="s">
        <v>29</v>
      </c>
      <c r="B19" s="4" t="s">
        <v>23</v>
      </c>
      <c r="C19" s="3" t="s">
        <v>58</v>
      </c>
      <c r="D19" s="4" t="s">
        <v>62</v>
      </c>
      <c r="E19" s="30">
        <f>Data_Scores!V19*0.33</f>
        <v>0.3132358048</v>
      </c>
      <c r="F19" s="30">
        <f>Data_Scores!U19*0.33</f>
        <v>0.095</v>
      </c>
      <c r="G19" s="30">
        <f>Data_Scores!P19*0.33*0.33</f>
        <v>0.09555096774</v>
      </c>
      <c r="H19" s="30">
        <f>Data_Scores!Q19*0.33*0.33</f>
        <v>0.05558223062</v>
      </c>
      <c r="I19" s="30">
        <f>(Data_Scores!R19+Data_Scores!S19+Data_Scores!T19)*0.33*0.33*0.33</f>
        <v>0.0603306</v>
      </c>
      <c r="J19" s="31">
        <f t="shared" si="1"/>
        <v>0.2114637984</v>
      </c>
      <c r="K19" s="32">
        <f t="shared" si="2"/>
        <v>0.6196996031</v>
      </c>
      <c r="L19" s="34"/>
    </row>
    <row r="20" ht="15.0" customHeight="1">
      <c r="A20" s="4" t="s">
        <v>32</v>
      </c>
      <c r="B20" s="4" t="s">
        <v>23</v>
      </c>
      <c r="C20" s="3" t="s">
        <v>58</v>
      </c>
      <c r="D20" s="4" t="s">
        <v>64</v>
      </c>
      <c r="E20" s="30">
        <f>Data_Scores!V20*0.33</f>
        <v>0.3144673295</v>
      </c>
      <c r="F20" s="30">
        <f>Data_Scores!U20*0.33</f>
        <v>0.1344444444</v>
      </c>
      <c r="G20" s="30">
        <f>Data_Scores!P20*0.33*0.33</f>
        <v>0.09490196078</v>
      </c>
      <c r="H20" s="30">
        <f>Data_Scores!Q20*0.33*0.33</f>
        <v>0.0290698152</v>
      </c>
      <c r="I20" s="30">
        <f>(Data_Scores!R20+Data_Scores!S20+Data_Scores!T20)*0.33*0.33*0.33</f>
        <v>0.02960128613</v>
      </c>
      <c r="J20" s="31">
        <f t="shared" si="1"/>
        <v>0.1535730621</v>
      </c>
      <c r="K20" s="32">
        <f t="shared" si="2"/>
        <v>0.6024848361</v>
      </c>
      <c r="L20" s="34"/>
    </row>
    <row r="21" ht="15.0" customHeight="1">
      <c r="A21" s="4" t="s">
        <v>35</v>
      </c>
      <c r="B21" s="4" t="s">
        <v>23</v>
      </c>
      <c r="C21" s="3" t="s">
        <v>58</v>
      </c>
      <c r="D21" s="4" t="s">
        <v>66</v>
      </c>
      <c r="E21" s="30">
        <f>Data_Scores!V21*0.33</f>
        <v>0.3198825832</v>
      </c>
      <c r="F21" s="30">
        <f>Data_Scores!U21*0.33</f>
        <v>0.1346938776</v>
      </c>
      <c r="G21" s="30">
        <f>Data_Scores!P21*0.33*0.33</f>
        <v>0.1056153132</v>
      </c>
      <c r="H21" s="30">
        <f>Data_Scores!Q21*0.33*0.33</f>
        <v>0.05860481928</v>
      </c>
      <c r="I21" s="30">
        <f>(Data_Scores!R21+Data_Scores!S21+Data_Scores!T21)*0.33*0.33*0.33</f>
        <v>0.03323616446</v>
      </c>
      <c r="J21" s="31">
        <f t="shared" si="1"/>
        <v>0.197456297</v>
      </c>
      <c r="K21" s="32">
        <f t="shared" si="2"/>
        <v>0.6520327577</v>
      </c>
      <c r="L21" s="34"/>
    </row>
    <row r="22" ht="15.0" customHeight="1">
      <c r="A22" s="4" t="s">
        <v>22</v>
      </c>
      <c r="B22" s="4" t="s">
        <v>23</v>
      </c>
      <c r="C22" s="3" t="s">
        <v>68</v>
      </c>
      <c r="D22" s="4" t="s">
        <v>68</v>
      </c>
      <c r="E22" s="30">
        <f>Data_Scores!V22*0.33</f>
        <v>0.2845252623</v>
      </c>
      <c r="F22" s="30">
        <f>Data_Scores!U22*0.33</f>
        <v>0.268125</v>
      </c>
      <c r="G22" s="30">
        <f>Data_Scores!P22*0.33*0.33</f>
        <v>0.1089</v>
      </c>
      <c r="H22" s="30">
        <f>Data_Scores!Q22*0.33*0.33</f>
        <v>0.07892876712</v>
      </c>
      <c r="I22" s="30">
        <f>(Data_Scores!R22+Data_Scores!S22+Data_Scores!T22)*0.33*0.33*0.33</f>
        <v>0.08930833614</v>
      </c>
      <c r="J22" s="31">
        <f t="shared" si="1"/>
        <v>0.2771371033</v>
      </c>
      <c r="K22" s="32">
        <f t="shared" si="2"/>
        <v>0.8297873656</v>
      </c>
      <c r="L22" s="33">
        <f>(K22+K23+K24+K25+K26)*0.2</f>
        <v>0.7996908946</v>
      </c>
    </row>
    <row r="23" ht="15.0" customHeight="1">
      <c r="A23" s="4" t="s">
        <v>26</v>
      </c>
      <c r="B23" s="4" t="s">
        <v>23</v>
      </c>
      <c r="C23" s="3" t="s">
        <v>68</v>
      </c>
      <c r="D23" s="4" t="s">
        <v>69</v>
      </c>
      <c r="E23" s="30">
        <f>Data_Scores!V23*0.33</f>
        <v>0.2935439986</v>
      </c>
      <c r="F23" s="30">
        <f>Data_Scores!U23*0.33</f>
        <v>0.1563157895</v>
      </c>
      <c r="G23" s="30">
        <f>Data_Scores!P23*0.33*0.33</f>
        <v>0.1089</v>
      </c>
      <c r="H23" s="30">
        <f>Data_Scores!Q23*0.33*0.33</f>
        <v>0.08067949126</v>
      </c>
      <c r="I23" s="30">
        <f>(Data_Scores!R23+Data_Scores!S23+Data_Scores!T23)*0.33*0.33*0.33</f>
        <v>0.06708730943</v>
      </c>
      <c r="J23" s="31">
        <f t="shared" si="1"/>
        <v>0.2566668007</v>
      </c>
      <c r="K23" s="32">
        <f t="shared" si="2"/>
        <v>0.7065265887</v>
      </c>
      <c r="L23" s="34"/>
    </row>
    <row r="24" ht="15.0" customHeight="1">
      <c r="A24" s="4" t="s">
        <v>29</v>
      </c>
      <c r="B24" s="4" t="s">
        <v>23</v>
      </c>
      <c r="C24" s="3" t="s">
        <v>68</v>
      </c>
      <c r="D24" s="4" t="s">
        <v>71</v>
      </c>
      <c r="E24" s="30">
        <f>Data_Scores!V24*0.33</f>
        <v>0.3013846868</v>
      </c>
      <c r="F24" s="30">
        <f>Data_Scores!U24*0.33</f>
        <v>0.2</v>
      </c>
      <c r="G24" s="30">
        <f>Data_Scores!P24*0.33*0.33</f>
        <v>0.1021083871</v>
      </c>
      <c r="H24" s="30">
        <f>Data_Scores!Q24*0.33*0.33</f>
        <v>0.08419678639</v>
      </c>
      <c r="I24" s="30">
        <f>(Data_Scores!R24+Data_Scores!S24+Data_Scores!T24)*0.33*0.33*0.33</f>
        <v>0.06160273287</v>
      </c>
      <c r="J24" s="31">
        <f t="shared" si="1"/>
        <v>0.2479079064</v>
      </c>
      <c r="K24" s="32">
        <f t="shared" si="2"/>
        <v>0.7492925931</v>
      </c>
      <c r="L24" s="34"/>
    </row>
    <row r="25" ht="15.0" customHeight="1">
      <c r="A25" s="4" t="s">
        <v>32</v>
      </c>
      <c r="B25" s="4" t="s">
        <v>23</v>
      </c>
      <c r="C25" s="3" t="s">
        <v>68</v>
      </c>
      <c r="D25" s="4" t="s">
        <v>73</v>
      </c>
      <c r="E25" s="30">
        <f>Data_Scores!V25*0.33</f>
        <v>0.3002293111</v>
      </c>
      <c r="F25" s="30">
        <f>Data_Scores!U25*0.33</f>
        <v>0.275</v>
      </c>
      <c r="G25" s="30">
        <f>Data_Scores!P25*0.33*0.33</f>
        <v>0.1029686275</v>
      </c>
      <c r="H25" s="30">
        <f>Data_Scores!Q25*0.33*0.33</f>
        <v>0.048412423</v>
      </c>
      <c r="I25" s="30">
        <f>(Data_Scores!R25+Data_Scores!S25+Data_Scores!T25)*0.33*0.33*0.33</f>
        <v>0.07685947977</v>
      </c>
      <c r="J25" s="31">
        <f t="shared" si="1"/>
        <v>0.2282405302</v>
      </c>
      <c r="K25" s="32">
        <f t="shared" si="2"/>
        <v>0.8034698414</v>
      </c>
      <c r="L25" s="34"/>
    </row>
    <row r="26" ht="15.0" customHeight="1">
      <c r="A26" s="4" t="s">
        <v>35</v>
      </c>
      <c r="B26" s="4" t="s">
        <v>23</v>
      </c>
      <c r="C26" s="3" t="s">
        <v>68</v>
      </c>
      <c r="D26" s="4" t="s">
        <v>75</v>
      </c>
      <c r="E26" s="30">
        <f>Data_Scores!V26*0.33</f>
        <v>0.3070632436</v>
      </c>
      <c r="F26" s="30">
        <f>Data_Scores!U26*0.33</f>
        <v>0.3030612245</v>
      </c>
      <c r="G26" s="30">
        <f>Data_Scores!P26*0.33*0.33</f>
        <v>0.1020779582</v>
      </c>
      <c r="H26" s="30">
        <f>Data_Scores!Q26*0.33*0.33</f>
        <v>0.09927831325</v>
      </c>
      <c r="I26" s="30">
        <f>(Data_Scores!R26+Data_Scores!S26+Data_Scores!T26)*0.33*0.33*0.33</f>
        <v>0.09789734483</v>
      </c>
      <c r="J26" s="31">
        <f t="shared" si="1"/>
        <v>0.2992536163</v>
      </c>
      <c r="K26" s="32">
        <f t="shared" si="2"/>
        <v>0.9093780844</v>
      </c>
      <c r="L26" s="34"/>
    </row>
    <row r="27" ht="15.0" customHeight="1">
      <c r="A27" s="4" t="s">
        <v>22</v>
      </c>
      <c r="B27" s="4" t="s">
        <v>23</v>
      </c>
      <c r="C27" s="3" t="s">
        <v>77</v>
      </c>
      <c r="D27" s="4" t="s">
        <v>77</v>
      </c>
      <c r="E27" s="30">
        <f>Data_Scores!V27*0.33</f>
        <v>0.3119859309</v>
      </c>
      <c r="F27" s="30">
        <f>Data_Scores!U27*0.33</f>
        <v>0.296484375</v>
      </c>
      <c r="G27" s="30">
        <f>Data_Scores!P27*0.33*0.33</f>
        <v>0.09144108216</v>
      </c>
      <c r="H27" s="30">
        <f>Data_Scores!Q27*0.33*0.33</f>
        <v>0.08638767123</v>
      </c>
      <c r="I27" s="30">
        <f>(Data_Scores!R27+Data_Scores!S27+Data_Scores!T27)*0.33*0.33*0.33</f>
        <v>0.05449758524</v>
      </c>
      <c r="J27" s="31">
        <f t="shared" si="1"/>
        <v>0.2323263386</v>
      </c>
      <c r="K27" s="32">
        <f t="shared" si="2"/>
        <v>0.8407966445</v>
      </c>
      <c r="L27" s="33">
        <f>(K27+K28+K29+K30+K31)*0.2</f>
        <v>0.8635353872</v>
      </c>
    </row>
    <row r="28" ht="15.0" customHeight="1">
      <c r="A28" s="4" t="s">
        <v>26</v>
      </c>
      <c r="B28" s="4" t="s">
        <v>23</v>
      </c>
      <c r="C28" s="3" t="s">
        <v>77</v>
      </c>
      <c r="D28" s="4" t="s">
        <v>79</v>
      </c>
      <c r="E28" s="30">
        <f>Data_Scores!V28*0.33</f>
        <v>0.3260068767</v>
      </c>
      <c r="F28" s="30">
        <f>Data_Scores!U28*0.33</f>
        <v>0.33</v>
      </c>
      <c r="G28" s="30">
        <f>Data_Scores!P28*0.33*0.33</f>
        <v>0.09145811088</v>
      </c>
      <c r="H28" s="30">
        <f>Data_Scores!Q28*0.33*0.33</f>
        <v>0.09937774245</v>
      </c>
      <c r="I28" s="30">
        <f>(Data_Scores!R28+Data_Scores!S28+Data_Scores!T28)*0.33*0.33*0.33</f>
        <v>0.0568806123</v>
      </c>
      <c r="J28" s="31">
        <f t="shared" si="1"/>
        <v>0.2477164656</v>
      </c>
      <c r="K28" s="32">
        <f t="shared" si="2"/>
        <v>0.9037233423</v>
      </c>
      <c r="L28" s="34"/>
    </row>
    <row r="29" ht="15.0" customHeight="1">
      <c r="A29" s="4" t="s">
        <v>29</v>
      </c>
      <c r="B29" s="4" t="s">
        <v>23</v>
      </c>
      <c r="C29" s="3" t="s">
        <v>77</v>
      </c>
      <c r="D29" s="4" t="s">
        <v>81</v>
      </c>
      <c r="E29" s="30">
        <f>Data_Scores!V29*0.33</f>
        <v>0.3186244113</v>
      </c>
      <c r="F29" s="30">
        <f>Data_Scores!U29*0.33</f>
        <v>0.285</v>
      </c>
      <c r="G29" s="30">
        <f>Data_Scores!P29*0.33*0.33</f>
        <v>0.09344322581</v>
      </c>
      <c r="H29" s="30">
        <f>Data_Scores!Q29*0.33*0.33</f>
        <v>0.1029300567</v>
      </c>
      <c r="I29" s="30">
        <f>(Data_Scores!R29+Data_Scores!S29+Data_Scores!T29)*0.33*0.33*0.33</f>
        <v>0.04436488028</v>
      </c>
      <c r="J29" s="31">
        <f t="shared" si="1"/>
        <v>0.2407381628</v>
      </c>
      <c r="K29" s="32">
        <f t="shared" si="2"/>
        <v>0.8443625741</v>
      </c>
      <c r="L29" s="34"/>
    </row>
    <row r="30" ht="15.0" customHeight="1">
      <c r="A30" s="4" t="s">
        <v>32</v>
      </c>
      <c r="B30" s="4" t="s">
        <v>23</v>
      </c>
      <c r="C30" s="3" t="s">
        <v>77</v>
      </c>
      <c r="D30" s="4" t="s">
        <v>83</v>
      </c>
      <c r="E30" s="30">
        <f>Data_Scores!V30*0.33</f>
        <v>0.3213028994</v>
      </c>
      <c r="F30" s="30">
        <f>Data_Scores!U30*0.33</f>
        <v>0.33</v>
      </c>
      <c r="G30" s="30">
        <f>Data_Scores!P30*0.33*0.33</f>
        <v>0.09419019608</v>
      </c>
      <c r="H30" s="30">
        <f>Data_Scores!Q30*0.33*0.33</f>
        <v>0.0526610883</v>
      </c>
      <c r="I30" s="30">
        <f>(Data_Scores!R30+Data_Scores!S30+Data_Scores!T30)*0.33*0.33*0.33</f>
        <v>0.04798524277</v>
      </c>
      <c r="J30" s="31">
        <f t="shared" si="1"/>
        <v>0.1948365271</v>
      </c>
      <c r="K30" s="32">
        <f t="shared" si="2"/>
        <v>0.8461394265</v>
      </c>
      <c r="L30" s="34"/>
    </row>
    <row r="31" ht="15.0" customHeight="1">
      <c r="A31" s="4" t="s">
        <v>35</v>
      </c>
      <c r="B31" s="4" t="s">
        <v>23</v>
      </c>
      <c r="C31" s="3" t="s">
        <v>77</v>
      </c>
      <c r="D31" s="4" t="s">
        <v>85</v>
      </c>
      <c r="E31" s="30">
        <f>Data_Scores!V31*0.33</f>
        <v>0.3245507793</v>
      </c>
      <c r="F31" s="30">
        <f>Data_Scores!U31*0.33</f>
        <v>0.2895918367</v>
      </c>
      <c r="G31" s="30">
        <f>Data_Scores!P31*0.33*0.33</f>
        <v>0.1061206497</v>
      </c>
      <c r="H31" s="30">
        <f>Data_Scores!Q31*0.33*0.33</f>
        <v>0.1043078313</v>
      </c>
      <c r="I31" s="30">
        <f>(Data_Scores!R31+Data_Scores!S31+Data_Scores!T31)*0.33*0.33*0.33</f>
        <v>0.05808385146</v>
      </c>
      <c r="J31" s="31">
        <f t="shared" si="1"/>
        <v>0.2685123324</v>
      </c>
      <c r="K31" s="32">
        <f t="shared" si="2"/>
        <v>0.8826549485</v>
      </c>
      <c r="L31" s="34"/>
    </row>
    <row r="32" ht="15.0" customHeight="1">
      <c r="A32" s="16" t="s">
        <v>22</v>
      </c>
      <c r="B32" s="16" t="s">
        <v>87</v>
      </c>
      <c r="C32" s="15" t="s">
        <v>88</v>
      </c>
      <c r="D32" s="16" t="s">
        <v>88</v>
      </c>
      <c r="E32" s="35">
        <f>Data_Scores!V32*0.33</f>
        <v>0.312915334</v>
      </c>
      <c r="F32" s="35">
        <f>Data_Scores!U32*0.33</f>
        <v>0.219140625</v>
      </c>
      <c r="G32" s="35">
        <f>Data_Scores!P32*0.33*0.33</f>
        <v>0.09427815631</v>
      </c>
      <c r="H32" s="35">
        <f>Data_Scores!Q32*0.33*0.33</f>
        <v>0.0640109589</v>
      </c>
      <c r="I32" s="35">
        <f>(Data_Scores!R32+Data_Scores!S32+Data_Scores!T32)*0.33*0.33*0.33</f>
        <v>0.05334688044</v>
      </c>
      <c r="J32" s="36">
        <f t="shared" si="1"/>
        <v>0.2116359957</v>
      </c>
      <c r="K32" s="32">
        <f t="shared" si="2"/>
        <v>0.7436919546</v>
      </c>
      <c r="L32" s="33">
        <f>(K32+K33+K34+K35+K36)*0.2</f>
        <v>0.7936609869</v>
      </c>
    </row>
    <row r="33" ht="15.0" customHeight="1">
      <c r="A33" s="16" t="s">
        <v>26</v>
      </c>
      <c r="B33" s="16" t="s">
        <v>87</v>
      </c>
      <c r="C33" s="15" t="s">
        <v>88</v>
      </c>
      <c r="D33" s="16" t="s">
        <v>90</v>
      </c>
      <c r="E33" s="35">
        <f>Data_Scores!V33*0.33</f>
        <v>0.3144365434</v>
      </c>
      <c r="F33" s="35">
        <f>Data_Scores!U33*0.33</f>
        <v>0.1736842105</v>
      </c>
      <c r="G33" s="35">
        <f>Data_Scores!P33*0.33*0.33</f>
        <v>0.09302340862</v>
      </c>
      <c r="H33" s="35">
        <f>Data_Scores!Q33*0.33*0.33</f>
        <v>0.08137201908</v>
      </c>
      <c r="I33" s="35">
        <f>(Data_Scores!R33+Data_Scores!S33+Data_Scores!T33)*0.33*0.33*0.33</f>
        <v>0.06148074467</v>
      </c>
      <c r="J33" s="36">
        <f t="shared" si="1"/>
        <v>0.2358761724</v>
      </c>
      <c r="K33" s="32">
        <f t="shared" si="2"/>
        <v>0.7239969263</v>
      </c>
      <c r="L33" s="34"/>
    </row>
    <row r="34" ht="15.0" customHeight="1">
      <c r="A34" s="16" t="s">
        <v>29</v>
      </c>
      <c r="B34" s="16" t="s">
        <v>87</v>
      </c>
      <c r="C34" s="15" t="s">
        <v>88</v>
      </c>
      <c r="D34" s="16" t="s">
        <v>91</v>
      </c>
      <c r="E34" s="35">
        <f>Data_Scores!V34*0.33</f>
        <v>0.3199533646</v>
      </c>
      <c r="F34" s="35">
        <f>Data_Scores!U34*0.33</f>
        <v>0.24</v>
      </c>
      <c r="G34" s="35">
        <f>Data_Scores!P34*0.33*0.33</f>
        <v>0.09438</v>
      </c>
      <c r="H34" s="35">
        <f>Data_Scores!Q34*0.33*0.33</f>
        <v>0.09160775047</v>
      </c>
      <c r="I34" s="35">
        <f>(Data_Scores!R34+Data_Scores!S34+Data_Scores!T34)*0.33*0.33*0.33</f>
        <v>0.04526773287</v>
      </c>
      <c r="J34" s="36">
        <f t="shared" si="1"/>
        <v>0.2312554833</v>
      </c>
      <c r="K34" s="32">
        <f t="shared" si="2"/>
        <v>0.791208848</v>
      </c>
      <c r="L34" s="34"/>
    </row>
    <row r="35" ht="15.0" customHeight="1">
      <c r="A35" s="16" t="s">
        <v>32</v>
      </c>
      <c r="B35" s="16" t="s">
        <v>87</v>
      </c>
      <c r="C35" s="15" t="s">
        <v>88</v>
      </c>
      <c r="D35" s="16" t="s">
        <v>93</v>
      </c>
      <c r="E35" s="35">
        <f>Data_Scores!V35*0.33</f>
        <v>0.3228684123</v>
      </c>
      <c r="F35" s="35">
        <f>Data_Scores!U35*0.33</f>
        <v>0.3055555556</v>
      </c>
      <c r="G35" s="35">
        <f>Data_Scores!P35*0.33*0.33</f>
        <v>0.09537647059</v>
      </c>
      <c r="H35" s="35">
        <f>Data_Scores!Q35*0.33*0.33</f>
        <v>0.04785338809</v>
      </c>
      <c r="I35" s="35">
        <f>(Data_Scores!R35+Data_Scores!S35+Data_Scores!T35)*0.33*0.33*0.33</f>
        <v>0.04943934104</v>
      </c>
      <c r="J35" s="36">
        <f t="shared" si="1"/>
        <v>0.1926691997</v>
      </c>
      <c r="K35" s="32">
        <f t="shared" si="2"/>
        <v>0.8210931676</v>
      </c>
      <c r="L35" s="34"/>
    </row>
    <row r="36" ht="15.0" customHeight="1">
      <c r="A36" s="16" t="s">
        <v>35</v>
      </c>
      <c r="B36" s="16" t="s">
        <v>87</v>
      </c>
      <c r="C36" s="15" t="s">
        <v>88</v>
      </c>
      <c r="D36" s="16" t="s">
        <v>95</v>
      </c>
      <c r="E36" s="35">
        <f>Data_Scores!V36*0.33</f>
        <v>0.3244970884</v>
      </c>
      <c r="F36" s="35">
        <f>Data_Scores!U36*0.33</f>
        <v>0.2895918367</v>
      </c>
      <c r="G36" s="35">
        <f>Data_Scores!P36*0.33*0.33</f>
        <v>0.1013199536</v>
      </c>
      <c r="H36" s="35">
        <f>Data_Scores!Q36*0.33*0.33</f>
        <v>0.09665421687</v>
      </c>
      <c r="I36" s="35">
        <f>(Data_Scores!R36+Data_Scores!S36+Data_Scores!T36)*0.33*0.33*0.33</f>
        <v>0.07625094231</v>
      </c>
      <c r="J36" s="36">
        <f t="shared" si="1"/>
        <v>0.2742251128</v>
      </c>
      <c r="K36" s="32">
        <f t="shared" si="2"/>
        <v>0.8883140379</v>
      </c>
      <c r="L36" s="34"/>
    </row>
    <row r="37" ht="15.0" customHeight="1">
      <c r="A37" s="16" t="s">
        <v>22</v>
      </c>
      <c r="B37" s="16" t="s">
        <v>87</v>
      </c>
      <c r="C37" s="15" t="s">
        <v>97</v>
      </c>
      <c r="D37" s="16" t="s">
        <v>97</v>
      </c>
      <c r="E37" s="35">
        <f>Data_Scores!V37*0.33</f>
        <v>0.325086982</v>
      </c>
      <c r="F37" s="35">
        <f>Data_Scores!U37*0.33</f>
        <v>0.224296875</v>
      </c>
      <c r="G37" s="35">
        <f>Data_Scores!P37*0.33*0.33</f>
        <v>0.08576693387</v>
      </c>
      <c r="H37" s="35">
        <f>Data_Scores!Q37*0.33*0.33</f>
        <v>0.08150547945</v>
      </c>
      <c r="I37" s="35">
        <f>(Data_Scores!R37+Data_Scores!S37+Data_Scores!T37)*0.33*0.33*0.33</f>
        <v>0.04151547271</v>
      </c>
      <c r="J37" s="36">
        <f t="shared" si="1"/>
        <v>0.208787886</v>
      </c>
      <c r="K37" s="32">
        <f t="shared" si="2"/>
        <v>0.758171743</v>
      </c>
      <c r="L37" s="33">
        <f>(K37+K38+K39+K40+K41)*0.2</f>
        <v>0.7647169197</v>
      </c>
    </row>
    <row r="38" ht="15.0" customHeight="1">
      <c r="A38" s="16" t="s">
        <v>26</v>
      </c>
      <c r="B38" s="16" t="s">
        <v>87</v>
      </c>
      <c r="C38" s="15" t="s">
        <v>97</v>
      </c>
      <c r="D38" s="16" t="s">
        <v>99</v>
      </c>
      <c r="E38" s="35">
        <f>Data_Scores!V38*0.33</f>
        <v>0.326893088</v>
      </c>
      <c r="F38" s="35">
        <f>Data_Scores!U38*0.33</f>
        <v>0.2171052632</v>
      </c>
      <c r="G38" s="35">
        <f>Data_Scores!P38*0.33*0.33</f>
        <v>0.08743305955</v>
      </c>
      <c r="H38" s="35">
        <f>Data_Scores!Q38*0.33*0.33</f>
        <v>0.1089</v>
      </c>
      <c r="I38" s="35">
        <f>(Data_Scores!R38+Data_Scores!S38+Data_Scores!T38)*0.33*0.33*0.33</f>
        <v>0.05818651967</v>
      </c>
      <c r="J38" s="36">
        <f t="shared" si="1"/>
        <v>0.2545195792</v>
      </c>
      <c r="K38" s="32">
        <f t="shared" si="2"/>
        <v>0.7985179304</v>
      </c>
      <c r="L38" s="34"/>
    </row>
    <row r="39" ht="15.0" customHeight="1">
      <c r="A39" s="16" t="s">
        <v>29</v>
      </c>
      <c r="B39" s="16" t="s">
        <v>87</v>
      </c>
      <c r="C39" s="15" t="s">
        <v>97</v>
      </c>
      <c r="D39" s="16" t="s">
        <v>101</v>
      </c>
      <c r="E39" s="35">
        <f>Data_Scores!V39*0.33</f>
        <v>0.3264613632</v>
      </c>
      <c r="F39" s="35">
        <f>Data_Scores!U39*0.33</f>
        <v>0.22</v>
      </c>
      <c r="G39" s="35">
        <f>Data_Scores!P39*0.33*0.33</f>
        <v>0.09156967742</v>
      </c>
      <c r="H39" s="35">
        <f>Data_Scores!Q39*0.33*0.33</f>
        <v>0.0920194707</v>
      </c>
      <c r="I39" s="35">
        <f>(Data_Scores!R39+Data_Scores!S39+Data_Scores!T39)*0.33*0.33*0.33</f>
        <v>0.02890183391</v>
      </c>
      <c r="J39" s="36">
        <f t="shared" si="1"/>
        <v>0.212490982</v>
      </c>
      <c r="K39" s="32">
        <f t="shared" si="2"/>
        <v>0.7589523452</v>
      </c>
      <c r="L39" s="34"/>
    </row>
    <row r="40" ht="15.0" customHeight="1">
      <c r="A40" s="16" t="s">
        <v>32</v>
      </c>
      <c r="B40" s="16" t="s">
        <v>87</v>
      </c>
      <c r="C40" s="15" t="s">
        <v>97</v>
      </c>
      <c r="D40" s="16" t="s">
        <v>103</v>
      </c>
      <c r="E40" s="35">
        <f>Data_Scores!V40*0.33</f>
        <v>0.33</v>
      </c>
      <c r="F40" s="35">
        <f>Data_Scores!U40*0.33</f>
        <v>0.2505555556</v>
      </c>
      <c r="G40" s="35">
        <f>Data_Scores!P40*0.33*0.33</f>
        <v>0.09252941176</v>
      </c>
      <c r="H40" s="35">
        <f>Data_Scores!Q40*0.33*0.33</f>
        <v>0.04785338809</v>
      </c>
      <c r="I40" s="35">
        <f>(Data_Scores!R40+Data_Scores!S40+Data_Scores!T40)*0.33*0.33*0.33</f>
        <v>0.03089958815</v>
      </c>
      <c r="J40" s="36">
        <f t="shared" si="1"/>
        <v>0.171282388</v>
      </c>
      <c r="K40" s="32">
        <f t="shared" si="2"/>
        <v>0.7518379436</v>
      </c>
      <c r="L40" s="34"/>
    </row>
    <row r="41" ht="15.0" customHeight="1">
      <c r="A41" s="16" t="s">
        <v>35</v>
      </c>
      <c r="B41" s="16" t="s">
        <v>87</v>
      </c>
      <c r="C41" s="15" t="s">
        <v>97</v>
      </c>
      <c r="D41" s="16" t="s">
        <v>105</v>
      </c>
      <c r="E41" s="35">
        <f>Data_Scores!V41*0.33</f>
        <v>0.3289816181</v>
      </c>
      <c r="F41" s="35">
        <f>Data_Scores!U41*0.33</f>
        <v>0.1953061224</v>
      </c>
      <c r="G41" s="35">
        <f>Data_Scores!P41*0.33*0.33</f>
        <v>0.09879327146</v>
      </c>
      <c r="H41" s="35">
        <f>Data_Scores!Q41*0.33*0.33</f>
        <v>0.08069096386</v>
      </c>
      <c r="I41" s="35">
        <f>(Data_Scores!R41+Data_Scores!S41+Data_Scores!T41)*0.33*0.33*0.33</f>
        <v>0.05233266048</v>
      </c>
      <c r="J41" s="36">
        <f t="shared" si="1"/>
        <v>0.2318168958</v>
      </c>
      <c r="K41" s="32">
        <f t="shared" si="2"/>
        <v>0.7561046364</v>
      </c>
      <c r="L41" s="34"/>
    </row>
    <row r="42" ht="15.0" customHeight="1">
      <c r="A42" s="16" t="s">
        <v>22</v>
      </c>
      <c r="B42" s="16" t="s">
        <v>87</v>
      </c>
      <c r="C42" s="15" t="s">
        <v>107</v>
      </c>
      <c r="D42" s="16" t="s">
        <v>107</v>
      </c>
      <c r="E42" s="35">
        <f>Data_Scores!V42*0.33</f>
        <v>0.3171620634</v>
      </c>
      <c r="F42" s="35">
        <f>Data_Scores!U42*0.33</f>
        <v>0.183046875</v>
      </c>
      <c r="G42" s="35">
        <f>Data_Scores!P42*0.33*0.33</f>
        <v>0.09689699399</v>
      </c>
      <c r="H42" s="35">
        <f>Data_Scores!Q42*0.33*0.33</f>
        <v>0.05777260274</v>
      </c>
      <c r="I42" s="35">
        <f>(Data_Scores!R42+Data_Scores!S42+Data_Scores!T42)*0.33*0.33*0.33</f>
        <v>0.04349123542</v>
      </c>
      <c r="J42" s="36">
        <f t="shared" si="1"/>
        <v>0.1981608322</v>
      </c>
      <c r="K42" s="32">
        <f t="shared" si="2"/>
        <v>0.6983697705</v>
      </c>
      <c r="L42" s="33">
        <f>(K42+K43+K44+K45+K46)*0.2</f>
        <v>0.7014703317</v>
      </c>
    </row>
    <row r="43" ht="15.0" customHeight="1">
      <c r="A43" s="16" t="s">
        <v>26</v>
      </c>
      <c r="B43" s="16" t="s">
        <v>87</v>
      </c>
      <c r="C43" s="15" t="s">
        <v>107</v>
      </c>
      <c r="D43" s="16" t="s">
        <v>109</v>
      </c>
      <c r="E43" s="35">
        <f>Data_Scores!V43*0.33</f>
        <v>0.3131981324</v>
      </c>
      <c r="F43" s="35">
        <f>Data_Scores!U43*0.33</f>
        <v>0.1389473684</v>
      </c>
      <c r="G43" s="35">
        <f>Data_Scores!P43*0.33*0.33</f>
        <v>0.09369425051</v>
      </c>
      <c r="H43" s="35">
        <f>Data_Scores!Q43*0.33*0.33</f>
        <v>0.08275707472</v>
      </c>
      <c r="I43" s="35">
        <f>(Data_Scores!R43+Data_Scores!S43+Data_Scores!T43)*0.33*0.33*0.33</f>
        <v>0.04931027705</v>
      </c>
      <c r="J43" s="36">
        <f t="shared" si="1"/>
        <v>0.2257616023</v>
      </c>
      <c r="K43" s="32">
        <f t="shared" si="2"/>
        <v>0.6779071031</v>
      </c>
      <c r="L43" s="34"/>
    </row>
    <row r="44" ht="15.0" customHeight="1">
      <c r="A44" s="16" t="s">
        <v>29</v>
      </c>
      <c r="B44" s="16" t="s">
        <v>87</v>
      </c>
      <c r="C44" s="15" t="s">
        <v>107</v>
      </c>
      <c r="D44" s="16" t="s">
        <v>111</v>
      </c>
      <c r="E44" s="35">
        <f>Data_Scores!V44*0.33</f>
        <v>0.3251321586</v>
      </c>
      <c r="F44" s="35">
        <f>Data_Scores!U44*0.33</f>
        <v>0.215</v>
      </c>
      <c r="G44" s="35">
        <f>Data_Scores!P44*0.33*0.33</f>
        <v>0.09438</v>
      </c>
      <c r="H44" s="35">
        <f>Data_Scores!Q44*0.33*0.33</f>
        <v>0.07246275992</v>
      </c>
      <c r="I44" s="35">
        <f>(Data_Scores!R44+Data_Scores!S44+Data_Scores!T44)*0.33*0.33*0.33</f>
        <v>0.03064423391</v>
      </c>
      <c r="J44" s="36">
        <f t="shared" si="1"/>
        <v>0.1974869938</v>
      </c>
      <c r="K44" s="32">
        <f t="shared" si="2"/>
        <v>0.7376191524</v>
      </c>
      <c r="L44" s="34"/>
    </row>
    <row r="45" ht="15.0" customHeight="1">
      <c r="A45" s="16" t="s">
        <v>32</v>
      </c>
      <c r="B45" s="16" t="s">
        <v>87</v>
      </c>
      <c r="C45" s="15" t="s">
        <v>107</v>
      </c>
      <c r="D45" s="16" t="s">
        <v>113</v>
      </c>
      <c r="E45" s="35">
        <f>Data_Scores!V45*0.33</f>
        <v>0.3222062715</v>
      </c>
      <c r="F45" s="35">
        <f>Data_Scores!U45*0.33</f>
        <v>0.2077777778</v>
      </c>
      <c r="G45" s="35">
        <f>Data_Scores!P45*0.33*0.33</f>
        <v>0.09608823529</v>
      </c>
      <c r="H45" s="35">
        <f>Data_Scores!Q45*0.33*0.33</f>
        <v>0.03823798768</v>
      </c>
      <c r="I45" s="35">
        <f>(Data_Scores!R45+Data_Scores!S45+Data_Scores!T45)*0.33*0.33*0.33</f>
        <v>0.03666404913</v>
      </c>
      <c r="J45" s="36">
        <f t="shared" si="1"/>
        <v>0.1709902721</v>
      </c>
      <c r="K45" s="32">
        <f t="shared" si="2"/>
        <v>0.7009743214</v>
      </c>
      <c r="L45" s="34"/>
    </row>
    <row r="46" ht="15.0" customHeight="1">
      <c r="A46" s="16" t="s">
        <v>35</v>
      </c>
      <c r="B46" s="16" t="s">
        <v>87</v>
      </c>
      <c r="C46" s="15" t="s">
        <v>107</v>
      </c>
      <c r="D46" s="16" t="s">
        <v>115</v>
      </c>
      <c r="E46" s="35">
        <f>Data_Scores!V46*0.33</f>
        <v>0.3250778919</v>
      </c>
      <c r="F46" s="35">
        <f>Data_Scores!U46*0.33</f>
        <v>0.1683673469</v>
      </c>
      <c r="G46" s="35">
        <f>Data_Scores!P46*0.33*0.33</f>
        <v>0.1000566125</v>
      </c>
      <c r="H46" s="35">
        <f>Data_Scores!Q46*0.33*0.33</f>
        <v>0.07128795181</v>
      </c>
      <c r="I46" s="35">
        <f>(Data_Scores!R46+Data_Scores!S46+Data_Scores!T46)*0.33*0.33*0.33</f>
        <v>0.02769150796</v>
      </c>
      <c r="J46" s="36">
        <f t="shared" si="1"/>
        <v>0.1990360723</v>
      </c>
      <c r="K46" s="32">
        <f t="shared" si="2"/>
        <v>0.6924813112</v>
      </c>
      <c r="L46" s="34"/>
    </row>
    <row r="47" ht="15.0" customHeight="1">
      <c r="A47" s="16" t="s">
        <v>22</v>
      </c>
      <c r="B47" s="16" t="s">
        <v>87</v>
      </c>
      <c r="C47" s="15" t="s">
        <v>117</v>
      </c>
      <c r="D47" s="16" t="s">
        <v>117</v>
      </c>
      <c r="E47" s="35">
        <f>Data_Scores!V47*0.33</f>
        <v>0.3221380379</v>
      </c>
      <c r="F47" s="35">
        <f>Data_Scores!U47*0.33</f>
        <v>0.152109375</v>
      </c>
      <c r="G47" s="35">
        <f>Data_Scores!P47*0.33*0.33</f>
        <v>0.08751282565</v>
      </c>
      <c r="H47" s="35">
        <f>Data_Scores!Q47*0.33*0.33</f>
        <v>0.06265479452</v>
      </c>
      <c r="I47" s="35">
        <f>(Data_Scores!R47+Data_Scores!S47+Data_Scores!T47)*0.33*0.33*0.33</f>
        <v>0.03549808463</v>
      </c>
      <c r="J47" s="36">
        <f t="shared" si="1"/>
        <v>0.1856657048</v>
      </c>
      <c r="K47" s="32">
        <f t="shared" si="2"/>
        <v>0.6599131177</v>
      </c>
      <c r="L47" s="33">
        <f>(K47+K48+K49+K50+K51)*0.2</f>
        <v>0.6674800968</v>
      </c>
    </row>
    <row r="48" ht="15.0" customHeight="1">
      <c r="A48" s="16" t="s">
        <v>26</v>
      </c>
      <c r="B48" s="16" t="s">
        <v>87</v>
      </c>
      <c r="C48" s="15" t="s">
        <v>117</v>
      </c>
      <c r="D48" s="16" t="s">
        <v>119</v>
      </c>
      <c r="E48" s="35">
        <f>Data_Scores!V48*0.33</f>
        <v>0.3191071486</v>
      </c>
      <c r="F48" s="35">
        <f>Data_Scores!U48*0.33</f>
        <v>0.1215789474</v>
      </c>
      <c r="G48" s="35">
        <f>Data_Scores!P48*0.33*0.33</f>
        <v>0.08765667351</v>
      </c>
      <c r="H48" s="35">
        <f>Data_Scores!Q48*0.33*0.33</f>
        <v>0.06561701113</v>
      </c>
      <c r="I48" s="35">
        <f>(Data_Scores!R48+Data_Scores!S48+Data_Scores!T48)*0.33*0.33*0.33</f>
        <v>0.02825374795</v>
      </c>
      <c r="J48" s="36">
        <f t="shared" si="1"/>
        <v>0.1815274326</v>
      </c>
      <c r="K48" s="32">
        <f t="shared" si="2"/>
        <v>0.6222135286</v>
      </c>
      <c r="L48" s="34"/>
    </row>
    <row r="49" ht="15.0" customHeight="1">
      <c r="A49" s="16" t="s">
        <v>29</v>
      </c>
      <c r="B49" s="16" t="s">
        <v>87</v>
      </c>
      <c r="C49" s="15" t="s">
        <v>117</v>
      </c>
      <c r="D49" s="16" t="s">
        <v>121</v>
      </c>
      <c r="E49" s="35">
        <f>Data_Scores!V49*0.33</f>
        <v>0.326735084</v>
      </c>
      <c r="F49" s="35">
        <f>Data_Scores!U49*0.33</f>
        <v>0.195</v>
      </c>
      <c r="G49" s="35">
        <f>Data_Scores!P49*0.33*0.33</f>
        <v>0.09250645161</v>
      </c>
      <c r="H49" s="35">
        <f>Data_Scores!Q49*0.33*0.33</f>
        <v>0.07390378072</v>
      </c>
      <c r="I49" s="35">
        <f>(Data_Scores!R49+Data_Scores!S49+Data_Scores!T49)*0.33*0.33*0.33</f>
        <v>0.0296162782</v>
      </c>
      <c r="J49" s="36">
        <f t="shared" si="1"/>
        <v>0.1960265105</v>
      </c>
      <c r="K49" s="32">
        <f t="shared" si="2"/>
        <v>0.7177615945</v>
      </c>
      <c r="L49" s="34"/>
    </row>
    <row r="50" ht="15.0" customHeight="1">
      <c r="A50" s="16" t="s">
        <v>32</v>
      </c>
      <c r="B50" s="16" t="s">
        <v>87</v>
      </c>
      <c r="C50" s="15" t="s">
        <v>117</v>
      </c>
      <c r="D50" s="16" t="s">
        <v>123</v>
      </c>
      <c r="E50" s="35">
        <f>Data_Scores!V50*0.33</f>
        <v>0.3217380103</v>
      </c>
      <c r="F50" s="35">
        <f>Data_Scores!U50*0.33</f>
        <v>0.165</v>
      </c>
      <c r="G50" s="35">
        <f>Data_Scores!P50*0.33*0.33</f>
        <v>0.09347843137</v>
      </c>
      <c r="H50" s="35">
        <f>Data_Scores!Q50*0.33*0.33</f>
        <v>0.03767895277</v>
      </c>
      <c r="I50" s="35">
        <f>(Data_Scores!R50+Data_Scores!S50+Data_Scores!T50)*0.33*0.33*0.33</f>
        <v>0.03707950578</v>
      </c>
      <c r="J50" s="36">
        <f t="shared" si="1"/>
        <v>0.1682368899</v>
      </c>
      <c r="K50" s="32">
        <f t="shared" si="2"/>
        <v>0.6549749002</v>
      </c>
      <c r="L50" s="34"/>
    </row>
    <row r="51" ht="15.0" customHeight="1">
      <c r="A51" s="16" t="s">
        <v>35</v>
      </c>
      <c r="B51" s="16" t="s">
        <v>87</v>
      </c>
      <c r="C51" s="15" t="s">
        <v>117</v>
      </c>
      <c r="D51" s="16" t="s">
        <v>125</v>
      </c>
      <c r="E51" s="35">
        <f>Data_Scores!V51*0.33</f>
        <v>0.3265172953</v>
      </c>
      <c r="F51" s="35">
        <f>Data_Scores!U51*0.33</f>
        <v>0.1616326531</v>
      </c>
      <c r="G51" s="35">
        <f>Data_Scores!P51*0.33*0.33</f>
        <v>0.09879327146</v>
      </c>
      <c r="H51" s="35">
        <f>Data_Scores!Q51*0.33*0.33</f>
        <v>0.06997590361</v>
      </c>
      <c r="I51" s="35">
        <f>(Data_Scores!R51+Data_Scores!S51+Data_Scores!T51)*0.33*0.33*0.33</f>
        <v>0.0256182195</v>
      </c>
      <c r="J51" s="36">
        <f t="shared" si="1"/>
        <v>0.1943873946</v>
      </c>
      <c r="K51" s="32">
        <f t="shared" si="2"/>
        <v>0.682537343</v>
      </c>
      <c r="L51" s="34"/>
    </row>
    <row r="52" ht="15.0" customHeight="1">
      <c r="A52" s="16" t="s">
        <v>22</v>
      </c>
      <c r="B52" s="16" t="s">
        <v>87</v>
      </c>
      <c r="C52" s="15" t="s">
        <v>78</v>
      </c>
      <c r="D52" s="16" t="s">
        <v>78</v>
      </c>
      <c r="E52" s="35">
        <f>Data_Scores!V52*0.33</f>
        <v>0.3224086459</v>
      </c>
      <c r="F52" s="35">
        <f>Data_Scores!U52*0.33</f>
        <v>0.15984375</v>
      </c>
      <c r="G52" s="35">
        <f>Data_Scores!P52*0.33*0.33</f>
        <v>0.08969519038</v>
      </c>
      <c r="H52" s="35">
        <f>Data_Scores!Q52*0.33*0.33</f>
        <v>0.06062054795</v>
      </c>
      <c r="I52" s="35">
        <f>(Data_Scores!R52+Data_Scores!S52+Data_Scores!T52)*0.33*0.33*0.33</f>
        <v>0.04463293023</v>
      </c>
      <c r="J52" s="36">
        <f t="shared" si="1"/>
        <v>0.1949486686</v>
      </c>
      <c r="K52" s="32">
        <f t="shared" si="2"/>
        <v>0.6772010645</v>
      </c>
      <c r="L52" s="33">
        <f>(K52+K53+K54+K55+K56)*0.2</f>
        <v>0.6847653875</v>
      </c>
    </row>
    <row r="53" ht="15.0" customHeight="1">
      <c r="A53" s="16" t="s">
        <v>26</v>
      </c>
      <c r="B53" s="16" t="s">
        <v>87</v>
      </c>
      <c r="C53" s="15" t="s">
        <v>78</v>
      </c>
      <c r="D53" s="16" t="s">
        <v>128</v>
      </c>
      <c r="E53" s="35">
        <f>Data_Scores!V53*0.33</f>
        <v>0.3183242406</v>
      </c>
      <c r="F53" s="35">
        <f>Data_Scores!U53*0.33</f>
        <v>0.1273684211</v>
      </c>
      <c r="G53" s="35">
        <f>Data_Scores!P53*0.33*0.33</f>
        <v>0.08944558522</v>
      </c>
      <c r="H53" s="35">
        <f>Data_Scores!Q53*0.33*0.33</f>
        <v>0.07496613672</v>
      </c>
      <c r="I53" s="35">
        <f>(Data_Scores!R53+Data_Scores!S53+Data_Scores!T53)*0.33*0.33*0.33</f>
        <v>0.03808241926</v>
      </c>
      <c r="J53" s="36">
        <f t="shared" si="1"/>
        <v>0.2024941412</v>
      </c>
      <c r="K53" s="32">
        <f t="shared" si="2"/>
        <v>0.6481868028</v>
      </c>
      <c r="L53" s="34"/>
    </row>
    <row r="54" ht="15.0" customHeight="1">
      <c r="A54" s="16" t="s">
        <v>29</v>
      </c>
      <c r="B54" s="16" t="s">
        <v>87</v>
      </c>
      <c r="C54" s="15" t="s">
        <v>78</v>
      </c>
      <c r="D54" s="16" t="s">
        <v>130</v>
      </c>
      <c r="E54" s="35">
        <f>Data_Scores!V54*0.33</f>
        <v>0.3276801991</v>
      </c>
      <c r="F54" s="35">
        <f>Data_Scores!U54*0.33</f>
        <v>0.21</v>
      </c>
      <c r="G54" s="35">
        <f>Data_Scores!P54*0.33*0.33</f>
        <v>0.09063290323</v>
      </c>
      <c r="H54" s="35">
        <f>Data_Scores!Q54*0.33*0.33</f>
        <v>0.0858436673</v>
      </c>
      <c r="I54" s="35">
        <f>(Data_Scores!R54+Data_Scores!S54+Data_Scores!T54)*0.33*0.33*0.33</f>
        <v>0.03086203391</v>
      </c>
      <c r="J54" s="36">
        <f t="shared" si="1"/>
        <v>0.2073386044</v>
      </c>
      <c r="K54" s="32">
        <f t="shared" si="2"/>
        <v>0.7450188036</v>
      </c>
      <c r="L54" s="34"/>
    </row>
    <row r="55" ht="15.0" customHeight="1">
      <c r="A55" s="16" t="s">
        <v>32</v>
      </c>
      <c r="B55" s="16" t="s">
        <v>87</v>
      </c>
      <c r="C55" s="15" t="s">
        <v>78</v>
      </c>
      <c r="D55" s="16" t="s">
        <v>132</v>
      </c>
      <c r="E55" s="35">
        <f>Data_Scores!V55*0.33</f>
        <v>0.3225797265</v>
      </c>
      <c r="F55" s="35">
        <f>Data_Scores!U55*0.33</f>
        <v>0.1772222222</v>
      </c>
      <c r="G55" s="35">
        <f>Data_Scores!P55*0.33*0.33</f>
        <v>0.09324117647</v>
      </c>
      <c r="H55" s="35">
        <f>Data_Scores!Q55*0.33*0.33</f>
        <v>0.03711991786</v>
      </c>
      <c r="I55" s="35">
        <f>(Data_Scores!R55+Data_Scores!S55+Data_Scores!T55)*0.33*0.33*0.33</f>
        <v>0.03479449422</v>
      </c>
      <c r="J55" s="36">
        <f t="shared" si="1"/>
        <v>0.1651555886</v>
      </c>
      <c r="K55" s="32">
        <f t="shared" si="2"/>
        <v>0.6649575372</v>
      </c>
      <c r="L55" s="34"/>
    </row>
    <row r="56" ht="15.0" customHeight="1">
      <c r="A56" s="16" t="s">
        <v>35</v>
      </c>
      <c r="B56" s="16" t="s">
        <v>87</v>
      </c>
      <c r="C56" s="15" t="s">
        <v>78</v>
      </c>
      <c r="D56" s="16" t="s">
        <v>134</v>
      </c>
      <c r="E56" s="35">
        <f>Data_Scores!V56*0.33</f>
        <v>0.325509459</v>
      </c>
      <c r="F56" s="35">
        <f>Data_Scores!U56*0.33</f>
        <v>0.1683673469</v>
      </c>
      <c r="G56" s="35">
        <f>Data_Scores!P56*0.33*0.33</f>
        <v>0.09803526682</v>
      </c>
      <c r="H56" s="35">
        <f>Data_Scores!Q56*0.33*0.33</f>
        <v>0.06931987952</v>
      </c>
      <c r="I56" s="35">
        <f>(Data_Scores!R56+Data_Scores!S56+Data_Scores!T56)*0.33*0.33*0.33</f>
        <v>0.02723077719</v>
      </c>
      <c r="J56" s="36">
        <f t="shared" si="1"/>
        <v>0.1945859235</v>
      </c>
      <c r="K56" s="32">
        <f t="shared" si="2"/>
        <v>0.6884627295</v>
      </c>
      <c r="L56" s="34"/>
    </row>
    <row r="57" ht="15.0" customHeight="1">
      <c r="A57" s="16" t="s">
        <v>22</v>
      </c>
      <c r="B57" s="16" t="s">
        <v>87</v>
      </c>
      <c r="C57" s="15" t="s">
        <v>136</v>
      </c>
      <c r="D57" s="16" t="s">
        <v>136</v>
      </c>
      <c r="E57" s="35">
        <f>Data_Scores!V57*0.33</f>
        <v>0.3222004456</v>
      </c>
      <c r="F57" s="35">
        <f>Data_Scores!U57*0.33</f>
        <v>0.198515625</v>
      </c>
      <c r="G57" s="35">
        <f>Data_Scores!P57*0.33*0.33</f>
        <v>0.09078637275</v>
      </c>
      <c r="H57" s="35">
        <f>Data_Scores!Q57*0.33*0.33</f>
        <v>0.05546712329</v>
      </c>
      <c r="I57" s="35">
        <f>(Data_Scores!R57+Data_Scores!S57+Data_Scores!T57)*0.33*0.33*0.33</f>
        <v>0.04423906483</v>
      </c>
      <c r="J57" s="36">
        <f t="shared" si="1"/>
        <v>0.1904925609</v>
      </c>
      <c r="K57" s="32">
        <f t="shared" si="2"/>
        <v>0.7112086314</v>
      </c>
      <c r="L57" s="33">
        <f>(K57+K58+K59+K60+K61)*0.2</f>
        <v>0.6828816581</v>
      </c>
    </row>
    <row r="58" ht="15.0" customHeight="1">
      <c r="A58" s="16" t="s">
        <v>26</v>
      </c>
      <c r="B58" s="16" t="s">
        <v>87</v>
      </c>
      <c r="C58" s="15" t="s">
        <v>136</v>
      </c>
      <c r="D58" s="16" t="s">
        <v>138</v>
      </c>
      <c r="E58" s="35">
        <f>Data_Scores!V58*0.33</f>
        <v>0.3229743539</v>
      </c>
      <c r="F58" s="35">
        <f>Data_Scores!U58*0.33</f>
        <v>0.1505263158</v>
      </c>
      <c r="G58" s="35">
        <f>Data_Scores!P58*0.33*0.33</f>
        <v>0.09078726899</v>
      </c>
      <c r="H58" s="35">
        <f>Data_Scores!Q58*0.33*0.33</f>
        <v>0.06180810811</v>
      </c>
      <c r="I58" s="35">
        <f>(Data_Scores!R58+Data_Scores!S58+Data_Scores!T58)*0.33*0.33*0.33</f>
        <v>0.03661450082</v>
      </c>
      <c r="J58" s="36">
        <f t="shared" si="1"/>
        <v>0.1892098779</v>
      </c>
      <c r="K58" s="32">
        <f t="shared" si="2"/>
        <v>0.6627105476</v>
      </c>
      <c r="L58" s="34"/>
    </row>
    <row r="59" ht="15.0" customHeight="1">
      <c r="A59" s="16" t="s">
        <v>29</v>
      </c>
      <c r="B59" s="16" t="s">
        <v>87</v>
      </c>
      <c r="C59" s="15" t="s">
        <v>136</v>
      </c>
      <c r="D59" s="16" t="s">
        <v>140</v>
      </c>
      <c r="E59" s="35">
        <f>Data_Scores!V59*0.33</f>
        <v>0.3236953849</v>
      </c>
      <c r="F59" s="35">
        <f>Data_Scores!U59*0.33</f>
        <v>0.17</v>
      </c>
      <c r="G59" s="35">
        <f>Data_Scores!P59*0.33*0.33</f>
        <v>0.09203806452</v>
      </c>
      <c r="H59" s="35">
        <f>Data_Scores!Q59*0.33*0.33</f>
        <v>0.07657996219</v>
      </c>
      <c r="I59" s="35">
        <f>(Data_Scores!R59+Data_Scores!S59+Data_Scores!T59)*0.33*0.33*0.33</f>
        <v>0.02843533495</v>
      </c>
      <c r="J59" s="36">
        <f t="shared" si="1"/>
        <v>0.1970533617</v>
      </c>
      <c r="K59" s="32">
        <f t="shared" si="2"/>
        <v>0.6907487466</v>
      </c>
      <c r="L59" s="34"/>
    </row>
    <row r="60" ht="15.0" customHeight="1">
      <c r="A60" s="16" t="s">
        <v>32</v>
      </c>
      <c r="B60" s="16" t="s">
        <v>87</v>
      </c>
      <c r="C60" s="15" t="s">
        <v>136</v>
      </c>
      <c r="D60" s="16" t="s">
        <v>141</v>
      </c>
      <c r="E60" s="35">
        <f>Data_Scores!V60*0.33</f>
        <v>0.3241253785</v>
      </c>
      <c r="F60" s="35">
        <f>Data_Scores!U60*0.33</f>
        <v>0.1588888889</v>
      </c>
      <c r="G60" s="35">
        <f>Data_Scores!P60*0.33*0.33</f>
        <v>0.09300392157</v>
      </c>
      <c r="H60" s="35">
        <f>Data_Scores!Q60*0.33*0.33</f>
        <v>0.03868521561</v>
      </c>
      <c r="I60" s="35">
        <f>(Data_Scores!R60+Data_Scores!S60+Data_Scores!T60)*0.33*0.33*0.33</f>
        <v>0.03313266763</v>
      </c>
      <c r="J60" s="36">
        <f t="shared" si="1"/>
        <v>0.1648218048</v>
      </c>
      <c r="K60" s="32">
        <f t="shared" si="2"/>
        <v>0.6478360722</v>
      </c>
      <c r="L60" s="34"/>
    </row>
    <row r="61" ht="15.0" customHeight="1">
      <c r="A61" s="16" t="s">
        <v>35</v>
      </c>
      <c r="B61" s="16" t="s">
        <v>87</v>
      </c>
      <c r="C61" s="15" t="s">
        <v>136</v>
      </c>
      <c r="D61" s="16" t="s">
        <v>143</v>
      </c>
      <c r="E61" s="35">
        <f>Data_Scores!V61*0.33</f>
        <v>0.3260722122</v>
      </c>
      <c r="F61" s="35">
        <f>Data_Scores!U61*0.33</f>
        <v>0.1751020408</v>
      </c>
      <c r="G61" s="35">
        <f>Data_Scores!P61*0.33*0.33</f>
        <v>0.09854060325</v>
      </c>
      <c r="H61" s="35">
        <f>Data_Scores!Q61*0.33*0.33</f>
        <v>0.07588012048</v>
      </c>
      <c r="I61" s="35">
        <f>(Data_Scores!R61+Data_Scores!S61+Data_Scores!T61)*0.33*0.33*0.33</f>
        <v>0.02630931565</v>
      </c>
      <c r="J61" s="36">
        <f t="shared" si="1"/>
        <v>0.2007300394</v>
      </c>
      <c r="K61" s="32">
        <f t="shared" si="2"/>
        <v>0.7019042924</v>
      </c>
      <c r="L61" s="34"/>
    </row>
    <row r="62" ht="15.0" customHeight="1">
      <c r="A62" s="16" t="s">
        <v>22</v>
      </c>
      <c r="B62" s="16" t="s">
        <v>87</v>
      </c>
      <c r="C62" s="15" t="s">
        <v>145</v>
      </c>
      <c r="D62" s="16" t="s">
        <v>145</v>
      </c>
      <c r="E62" s="35">
        <f>Data_Scores!V62*0.33</f>
        <v>0.3216707498</v>
      </c>
      <c r="F62" s="35">
        <f>Data_Scores!U62*0.33</f>
        <v>0.152109375</v>
      </c>
      <c r="G62" s="35">
        <f>Data_Scores!P62*0.33*0.33</f>
        <v>0.08598517034</v>
      </c>
      <c r="H62" s="35">
        <f>Data_Scores!Q62*0.33*0.33</f>
        <v>0.06062054795</v>
      </c>
      <c r="I62" s="35">
        <f>(Data_Scores!R62+Data_Scores!S62+Data_Scores!T62)*0.33*0.33*0.33</f>
        <v>0.03401014867</v>
      </c>
      <c r="J62" s="36">
        <f t="shared" si="1"/>
        <v>0.180615867</v>
      </c>
      <c r="K62" s="32">
        <f t="shared" si="2"/>
        <v>0.6543959918</v>
      </c>
      <c r="L62" s="33">
        <f>(K62+K63+K64+K65+K66)*0.2</f>
        <v>0.6875320763</v>
      </c>
    </row>
    <row r="63" ht="15.0" customHeight="1">
      <c r="A63" s="16" t="s">
        <v>26</v>
      </c>
      <c r="B63" s="16" t="s">
        <v>87</v>
      </c>
      <c r="C63" s="15" t="s">
        <v>145</v>
      </c>
      <c r="D63" s="16" t="s">
        <v>147</v>
      </c>
      <c r="E63" s="35">
        <f>Data_Scores!V63*0.33</f>
        <v>0.3175042663</v>
      </c>
      <c r="F63" s="35">
        <f>Data_Scores!U63*0.33</f>
        <v>0.1563157895</v>
      </c>
      <c r="G63" s="35">
        <f>Data_Scores!P63*0.33*0.33</f>
        <v>0.08899835729</v>
      </c>
      <c r="H63" s="35">
        <f>Data_Scores!Q63*0.33*0.33</f>
        <v>0.06388569157</v>
      </c>
      <c r="I63" s="35">
        <f>(Data_Scores!R63+Data_Scores!S63+Data_Scores!T63)*0.33*0.33*0.33</f>
        <v>0.04229961639</v>
      </c>
      <c r="J63" s="36">
        <f t="shared" si="1"/>
        <v>0.1951836653</v>
      </c>
      <c r="K63" s="32">
        <f t="shared" si="2"/>
        <v>0.6690037211</v>
      </c>
      <c r="L63" s="34"/>
    </row>
    <row r="64" ht="15.0" customHeight="1">
      <c r="A64" s="16" t="s">
        <v>29</v>
      </c>
      <c r="B64" s="16" t="s">
        <v>87</v>
      </c>
      <c r="C64" s="15" t="s">
        <v>145</v>
      </c>
      <c r="D64" s="16" t="s">
        <v>149</v>
      </c>
      <c r="E64" s="35">
        <f>Data_Scores!V64*0.33</f>
        <v>0.3253819178</v>
      </c>
      <c r="F64" s="35">
        <f>Data_Scores!U64*0.33</f>
        <v>0.185</v>
      </c>
      <c r="G64" s="35">
        <f>Data_Scores!P64*0.33*0.33</f>
        <v>0.09156967742</v>
      </c>
      <c r="H64" s="35">
        <f>Data_Scores!Q64*0.33*0.33</f>
        <v>0.07452136106</v>
      </c>
      <c r="I64" s="35">
        <f>(Data_Scores!R64+Data_Scores!S64+Data_Scores!T64)*0.33*0.33*0.33</f>
        <v>0.02824843391</v>
      </c>
      <c r="J64" s="36">
        <f t="shared" si="1"/>
        <v>0.1943394724</v>
      </c>
      <c r="K64" s="32">
        <f t="shared" si="2"/>
        <v>0.7047213902</v>
      </c>
      <c r="L64" s="34"/>
    </row>
    <row r="65" ht="15.0" customHeight="1">
      <c r="A65" s="16" t="s">
        <v>32</v>
      </c>
      <c r="B65" s="16" t="s">
        <v>87</v>
      </c>
      <c r="C65" s="15" t="s">
        <v>145</v>
      </c>
      <c r="D65" s="16" t="s">
        <v>150</v>
      </c>
      <c r="E65" s="35">
        <f>Data_Scores!V65*0.33</f>
        <v>0.3245465449</v>
      </c>
      <c r="F65" s="35">
        <f>Data_Scores!U65*0.33</f>
        <v>0.2322222222</v>
      </c>
      <c r="G65" s="35">
        <f>Data_Scores!P65*0.33*0.33</f>
        <v>0.09252941176</v>
      </c>
      <c r="H65" s="35">
        <f>Data_Scores!Q65*0.33*0.33</f>
        <v>0.03779075975</v>
      </c>
      <c r="I65" s="35">
        <f>(Data_Scores!R65+Data_Scores!S65+Data_Scores!T65)*0.33*0.33*0.33</f>
        <v>0.04149373266</v>
      </c>
      <c r="J65" s="36">
        <f t="shared" si="1"/>
        <v>0.1718139042</v>
      </c>
      <c r="K65" s="32">
        <f t="shared" si="2"/>
        <v>0.7285826713</v>
      </c>
      <c r="L65" s="34"/>
    </row>
    <row r="66" ht="15.0" customHeight="1">
      <c r="A66" s="16" t="s">
        <v>35</v>
      </c>
      <c r="B66" s="16" t="s">
        <v>87</v>
      </c>
      <c r="C66" s="15" t="s">
        <v>145</v>
      </c>
      <c r="D66" s="16" t="s">
        <v>152</v>
      </c>
      <c r="E66" s="35">
        <f>Data_Scores!V66*0.33</f>
        <v>0.3260288545</v>
      </c>
      <c r="F66" s="35">
        <f>Data_Scores!U66*0.33</f>
        <v>0.1616326531</v>
      </c>
      <c r="G66" s="35">
        <f>Data_Scores!P66*0.33*0.33</f>
        <v>0.09854060325</v>
      </c>
      <c r="H66" s="35">
        <f>Data_Scores!Q66*0.33*0.33</f>
        <v>0.06844518072</v>
      </c>
      <c r="I66" s="35">
        <f>(Data_Scores!R66+Data_Scores!S66+Data_Scores!T66)*0.33*0.33*0.33</f>
        <v>0.02630931565</v>
      </c>
      <c r="J66" s="36">
        <f t="shared" si="1"/>
        <v>0.1932950996</v>
      </c>
      <c r="K66" s="32">
        <f t="shared" si="2"/>
        <v>0.6809566071</v>
      </c>
      <c r="L66" s="34"/>
    </row>
    <row r="67" ht="15.0" customHeight="1">
      <c r="A67" s="16" t="s">
        <v>22</v>
      </c>
      <c r="B67" s="16" t="s">
        <v>87</v>
      </c>
      <c r="C67" s="15" t="s">
        <v>154</v>
      </c>
      <c r="D67" s="16" t="s">
        <v>154</v>
      </c>
      <c r="E67" s="35">
        <f>Data_Scores!V67*0.33</f>
        <v>0.3197945776</v>
      </c>
      <c r="F67" s="35">
        <f>Data_Scores!U67*0.33</f>
        <v>0.14953125</v>
      </c>
      <c r="G67" s="35">
        <f>Data_Scores!P67*0.33*0.33</f>
        <v>0.08882224449</v>
      </c>
      <c r="H67" s="35">
        <f>Data_Scores!Q67*0.33*0.33</f>
        <v>0.06048493151</v>
      </c>
      <c r="I67" s="35">
        <f>(Data_Scores!R67+Data_Scores!S67+Data_Scores!T67)*0.33*0.33*0.33</f>
        <v>0.04101091311</v>
      </c>
      <c r="J67" s="36">
        <f t="shared" si="1"/>
        <v>0.1903180891</v>
      </c>
      <c r="K67" s="32">
        <f t="shared" si="2"/>
        <v>0.6596439167</v>
      </c>
      <c r="L67" s="33">
        <f>(K67+K68+K69+K70+K71)*0.2</f>
        <v>0.6646656333</v>
      </c>
    </row>
    <row r="68" ht="15.0" customHeight="1">
      <c r="A68" s="16" t="s">
        <v>26</v>
      </c>
      <c r="B68" s="16" t="s">
        <v>87</v>
      </c>
      <c r="C68" s="15" t="s">
        <v>154</v>
      </c>
      <c r="D68" s="16" t="s">
        <v>156</v>
      </c>
      <c r="E68" s="35">
        <f>Data_Scores!V68*0.33</f>
        <v>0.3254258935</v>
      </c>
      <c r="F68" s="35">
        <f>Data_Scores!U68*0.33</f>
        <v>0.1071052632</v>
      </c>
      <c r="G68" s="35">
        <f>Data_Scores!P68*0.33*0.33</f>
        <v>0.0901164271</v>
      </c>
      <c r="H68" s="35">
        <f>Data_Scores!Q68*0.33*0.33</f>
        <v>0.06007678855</v>
      </c>
      <c r="I68" s="35">
        <f>(Data_Scores!R68+Data_Scores!S68+Data_Scores!T68)*0.33*0.33*0.33</f>
        <v>0.02852867582</v>
      </c>
      <c r="J68" s="36">
        <f t="shared" si="1"/>
        <v>0.1787218915</v>
      </c>
      <c r="K68" s="32">
        <f t="shared" si="2"/>
        <v>0.6112530482</v>
      </c>
      <c r="L68" s="34"/>
    </row>
    <row r="69" ht="15.0" customHeight="1">
      <c r="A69" s="16" t="s">
        <v>29</v>
      </c>
      <c r="B69" s="16" t="s">
        <v>87</v>
      </c>
      <c r="C69" s="15" t="s">
        <v>154</v>
      </c>
      <c r="D69" s="16" t="s">
        <v>158</v>
      </c>
      <c r="E69" s="35">
        <f>Data_Scores!V69*0.33</f>
        <v>0.3248502834</v>
      </c>
      <c r="F69" s="35">
        <f>Data_Scores!U69*0.33</f>
        <v>0.15</v>
      </c>
      <c r="G69" s="35">
        <f>Data_Scores!P69*0.33*0.33</f>
        <v>0.09320903226</v>
      </c>
      <c r="H69" s="35">
        <f>Data_Scores!Q69*0.33*0.33</f>
        <v>0.07102173913</v>
      </c>
      <c r="I69" s="35">
        <f>(Data_Scores!R69+Data_Scores!S69+Data_Scores!T69)*0.33*0.33*0.33</f>
        <v>0.02395423183</v>
      </c>
      <c r="J69" s="36">
        <f t="shared" si="1"/>
        <v>0.1881850032</v>
      </c>
      <c r="K69" s="32">
        <f t="shared" si="2"/>
        <v>0.6630352867</v>
      </c>
      <c r="L69" s="34"/>
    </row>
    <row r="70" ht="15.0" customHeight="1">
      <c r="A70" s="16" t="s">
        <v>32</v>
      </c>
      <c r="B70" s="16" t="s">
        <v>87</v>
      </c>
      <c r="C70" s="15" t="s">
        <v>154</v>
      </c>
      <c r="D70" s="16" t="s">
        <v>160</v>
      </c>
      <c r="E70" s="35">
        <f>Data_Scores!V70*0.33</f>
        <v>0.3256423629</v>
      </c>
      <c r="F70" s="35">
        <f>Data_Scores!U70*0.33</f>
        <v>0.1894444444</v>
      </c>
      <c r="G70" s="35">
        <f>Data_Scores!P70*0.33*0.33</f>
        <v>0.09276666667</v>
      </c>
      <c r="H70" s="35">
        <f>Data_Scores!Q70*0.33*0.33</f>
        <v>0.04036232033</v>
      </c>
      <c r="I70" s="35">
        <f>(Data_Scores!R70+Data_Scores!S70+Data_Scores!T70)*0.33*0.33*0.33</f>
        <v>0.03437903757</v>
      </c>
      <c r="J70" s="36">
        <f t="shared" si="1"/>
        <v>0.1675080246</v>
      </c>
      <c r="K70" s="32">
        <f t="shared" si="2"/>
        <v>0.6825948319</v>
      </c>
      <c r="L70" s="34"/>
    </row>
    <row r="71" ht="15.0" customHeight="1">
      <c r="A71" s="16" t="s">
        <v>35</v>
      </c>
      <c r="B71" s="16" t="s">
        <v>87</v>
      </c>
      <c r="C71" s="15" t="s">
        <v>154</v>
      </c>
      <c r="D71" s="16" t="s">
        <v>162</v>
      </c>
      <c r="E71" s="35">
        <f>Data_Scores!V71*0.33</f>
        <v>0.3274329783</v>
      </c>
      <c r="F71" s="35">
        <f>Data_Scores!U71*0.33</f>
        <v>0.1751020408</v>
      </c>
      <c r="G71" s="35">
        <f>Data_Scores!P71*0.33*0.33</f>
        <v>0.09803526682</v>
      </c>
      <c r="H71" s="35">
        <f>Data_Scores!Q71*0.33*0.33</f>
        <v>0.07784819277</v>
      </c>
      <c r="I71" s="35">
        <f>(Data_Scores!R71+Data_Scores!S71+Data_Scores!T71)*0.33*0.33*0.33</f>
        <v>0.02838260411</v>
      </c>
      <c r="J71" s="36">
        <f t="shared" si="1"/>
        <v>0.2042660637</v>
      </c>
      <c r="K71" s="32">
        <f t="shared" si="2"/>
        <v>0.7068010829</v>
      </c>
      <c r="L71" s="34"/>
    </row>
    <row r="72" ht="15.0" customHeight="1">
      <c r="A72" s="16" t="s">
        <v>22</v>
      </c>
      <c r="B72" s="16" t="s">
        <v>87</v>
      </c>
      <c r="C72" s="15" t="s">
        <v>51</v>
      </c>
      <c r="D72" s="16" t="s">
        <v>51</v>
      </c>
      <c r="E72" s="35">
        <f>Data_Scores!V72*0.33</f>
        <v>0.3230139514</v>
      </c>
      <c r="F72" s="35">
        <f>Data_Scores!U72*0.33</f>
        <v>0.17015625</v>
      </c>
      <c r="G72" s="35">
        <f>Data_Scores!P72*0.33*0.33</f>
        <v>0.08860400802</v>
      </c>
      <c r="H72" s="35">
        <f>Data_Scores!Q72*0.33*0.33</f>
        <v>0.06129863014</v>
      </c>
      <c r="I72" s="35">
        <f>(Data_Scores!R72+Data_Scores!S72+Data_Scores!T72)*0.33*0.33*0.33</f>
        <v>0.0416750783</v>
      </c>
      <c r="J72" s="36">
        <f t="shared" si="1"/>
        <v>0.1915777164</v>
      </c>
      <c r="K72" s="32">
        <f t="shared" si="2"/>
        <v>0.6847479178</v>
      </c>
      <c r="L72" s="33">
        <f>(K72+K73+K74+K75+K76)*0.2</f>
        <v>0.7126517878</v>
      </c>
    </row>
    <row r="73" ht="15.0" customHeight="1">
      <c r="A73" s="16" t="s">
        <v>26</v>
      </c>
      <c r="B73" s="16" t="s">
        <v>87</v>
      </c>
      <c r="C73" s="15" t="s">
        <v>51</v>
      </c>
      <c r="D73" s="16" t="s">
        <v>165</v>
      </c>
      <c r="E73" s="35">
        <f>Data_Scores!V73*0.33</f>
        <v>0.3272836802</v>
      </c>
      <c r="F73" s="35">
        <f>Data_Scores!U73*0.33</f>
        <v>0.1244736842</v>
      </c>
      <c r="G73" s="35">
        <f>Data_Scores!P73*0.33*0.33</f>
        <v>0.0901164271</v>
      </c>
      <c r="H73" s="35">
        <f>Data_Scores!Q73*0.33*0.33</f>
        <v>0.07392734499</v>
      </c>
      <c r="I73" s="35">
        <f>(Data_Scores!R73+Data_Scores!S73+Data_Scores!T73)*0.33*0.33*0.33</f>
        <v>0.03420397254</v>
      </c>
      <c r="J73" s="36">
        <f t="shared" si="1"/>
        <v>0.1982477446</v>
      </c>
      <c r="K73" s="32">
        <f t="shared" si="2"/>
        <v>0.650005109</v>
      </c>
      <c r="L73" s="34"/>
    </row>
    <row r="74" ht="15.0" customHeight="1">
      <c r="A74" s="16" t="s">
        <v>29</v>
      </c>
      <c r="B74" s="16" t="s">
        <v>87</v>
      </c>
      <c r="C74" s="15" t="s">
        <v>51</v>
      </c>
      <c r="D74" s="16" t="s">
        <v>167</v>
      </c>
      <c r="E74" s="35">
        <f>Data_Scores!V74*0.33</f>
        <v>0.33</v>
      </c>
      <c r="F74" s="35">
        <f>Data_Scores!U74*0.33</f>
        <v>0.195</v>
      </c>
      <c r="G74" s="35">
        <f>Data_Scores!P74*0.33*0.33</f>
        <v>0.09367741935</v>
      </c>
      <c r="H74" s="35">
        <f>Data_Scores!Q74*0.33*0.33</f>
        <v>0.07534480151</v>
      </c>
      <c r="I74" s="35">
        <f>(Data_Scores!R74+Data_Scores!S74+Data_Scores!T74)*0.33*0.33*0.33</f>
        <v>0.04171209135</v>
      </c>
      <c r="J74" s="36">
        <f t="shared" si="1"/>
        <v>0.2107343122</v>
      </c>
      <c r="K74" s="32">
        <f t="shared" si="2"/>
        <v>0.7357343122</v>
      </c>
      <c r="L74" s="34"/>
    </row>
    <row r="75" ht="15.0" customHeight="1">
      <c r="A75" s="16" t="s">
        <v>32</v>
      </c>
      <c r="B75" s="16" t="s">
        <v>87</v>
      </c>
      <c r="C75" s="15" t="s">
        <v>51</v>
      </c>
      <c r="D75" s="16" t="s">
        <v>169</v>
      </c>
      <c r="E75" s="35">
        <f>Data_Scores!V75*0.33</f>
        <v>0.3262422131</v>
      </c>
      <c r="F75" s="35">
        <f>Data_Scores!U75*0.33</f>
        <v>0.22</v>
      </c>
      <c r="G75" s="35">
        <f>Data_Scores!P75*0.33*0.33</f>
        <v>0.09205490196</v>
      </c>
      <c r="H75" s="35">
        <f>Data_Scores!Q75*0.33*0.33</f>
        <v>0.1089</v>
      </c>
      <c r="I75" s="35">
        <f>(Data_Scores!R75+Data_Scores!S75+Data_Scores!T75)*0.33*0.33*0.33</f>
        <v>0.03463869798</v>
      </c>
      <c r="J75" s="36">
        <f t="shared" si="1"/>
        <v>0.2355935999</v>
      </c>
      <c r="K75" s="32">
        <f t="shared" si="2"/>
        <v>0.7818358131</v>
      </c>
      <c r="L75" s="34"/>
    </row>
    <row r="76" ht="15.0" customHeight="1">
      <c r="A76" s="16" t="s">
        <v>35</v>
      </c>
      <c r="B76" s="16" t="s">
        <v>87</v>
      </c>
      <c r="C76" s="15" t="s">
        <v>51</v>
      </c>
      <c r="D76" s="16" t="s">
        <v>171</v>
      </c>
      <c r="E76" s="35">
        <f>Data_Scores!V76*0.33</f>
        <v>0.3285628141</v>
      </c>
      <c r="F76" s="35">
        <f>Data_Scores!U76*0.33</f>
        <v>0.1683673469</v>
      </c>
      <c r="G76" s="35">
        <f>Data_Scores!P76*0.33*0.33</f>
        <v>0.1000566125</v>
      </c>
      <c r="H76" s="35">
        <f>Data_Scores!Q76*0.33*0.33</f>
        <v>0.07106927711</v>
      </c>
      <c r="I76" s="35">
        <f>(Data_Scores!R76+Data_Scores!S76+Data_Scores!T76)*0.33*0.33*0.33</f>
        <v>0.04287973607</v>
      </c>
      <c r="J76" s="36">
        <f t="shared" si="1"/>
        <v>0.2140056257</v>
      </c>
      <c r="K76" s="32">
        <f t="shared" si="2"/>
        <v>0.7109357867</v>
      </c>
      <c r="L76" s="34"/>
    </row>
    <row r="77" ht="15.0" customHeight="1">
      <c r="A77" s="16" t="s">
        <v>22</v>
      </c>
      <c r="B77" s="16" t="s">
        <v>87</v>
      </c>
      <c r="C77" s="15" t="s">
        <v>28</v>
      </c>
      <c r="D77" s="16" t="s">
        <v>28</v>
      </c>
      <c r="E77" s="35">
        <f>Data_Scores!V77*0.33</f>
        <v>0.3126996114</v>
      </c>
      <c r="F77" s="35">
        <f>Data_Scores!U77*0.33</f>
        <v>0.203671875</v>
      </c>
      <c r="G77" s="35">
        <f>Data_Scores!P77*0.33*0.33</f>
        <v>0.09384168337</v>
      </c>
      <c r="H77" s="35">
        <f>Data_Scores!Q77*0.33*0.33</f>
        <v>0.06089178082</v>
      </c>
      <c r="I77" s="35">
        <f>(Data_Scores!R77+Data_Scores!S77+Data_Scores!T77)*0.33*0.33*0.33</f>
        <v>0.05072625967</v>
      </c>
      <c r="J77" s="36">
        <f t="shared" si="1"/>
        <v>0.2054597239</v>
      </c>
      <c r="K77" s="32">
        <f t="shared" si="2"/>
        <v>0.7218312103</v>
      </c>
      <c r="L77" s="33">
        <f>(K77+K78+K79+K80+K81)*0.2</f>
        <v>0.733922829</v>
      </c>
    </row>
    <row r="78" ht="15.0" customHeight="1">
      <c r="A78" s="16" t="s">
        <v>26</v>
      </c>
      <c r="B78" s="16" t="s">
        <v>87</v>
      </c>
      <c r="C78" s="15" t="s">
        <v>28</v>
      </c>
      <c r="D78" s="16" t="s">
        <v>174</v>
      </c>
      <c r="E78" s="35">
        <f>Data_Scores!V78*0.33</f>
        <v>0.3229849329</v>
      </c>
      <c r="F78" s="35">
        <f>Data_Scores!U78*0.33</f>
        <v>0.1447368421</v>
      </c>
      <c r="G78" s="35">
        <f>Data_Scores!P78*0.33*0.33</f>
        <v>0.0925761807</v>
      </c>
      <c r="H78" s="35">
        <f>Data_Scores!Q78*0.33*0.33</f>
        <v>0.066136407</v>
      </c>
      <c r="I78" s="35">
        <f>(Data_Scores!R78+Data_Scores!S78+Data_Scores!T78)*0.33*0.33*0.33</f>
        <v>0.03251022049</v>
      </c>
      <c r="J78" s="36">
        <f t="shared" si="1"/>
        <v>0.1912228082</v>
      </c>
      <c r="K78" s="32">
        <f t="shared" si="2"/>
        <v>0.6589445831</v>
      </c>
      <c r="L78" s="34"/>
    </row>
    <row r="79" ht="15.0" customHeight="1">
      <c r="A79" s="16" t="s">
        <v>29</v>
      </c>
      <c r="B79" s="16" t="s">
        <v>87</v>
      </c>
      <c r="C79" s="15" t="s">
        <v>28</v>
      </c>
      <c r="D79" s="16" t="s">
        <v>176</v>
      </c>
      <c r="E79" s="35">
        <f>Data_Scores!V79*0.33</f>
        <v>0.3207222807</v>
      </c>
      <c r="F79" s="35">
        <f>Data_Scores!U79*0.33</f>
        <v>0.21</v>
      </c>
      <c r="G79" s="35">
        <f>Data_Scores!P79*0.33*0.33</f>
        <v>0.09531677419</v>
      </c>
      <c r="H79" s="35">
        <f>Data_Scores!Q79*0.33*0.33</f>
        <v>0.08193232514</v>
      </c>
      <c r="I79" s="35">
        <f>(Data_Scores!R79+Data_Scores!S79+Data_Scores!T79)*0.33*0.33*0.33</f>
        <v>0.03612088651</v>
      </c>
      <c r="J79" s="36">
        <f t="shared" si="1"/>
        <v>0.2133699858</v>
      </c>
      <c r="K79" s="32">
        <f t="shared" si="2"/>
        <v>0.7440922666</v>
      </c>
      <c r="L79" s="34"/>
    </row>
    <row r="80" ht="15.0" customHeight="1">
      <c r="A80" s="16" t="s">
        <v>32</v>
      </c>
      <c r="B80" s="16" t="s">
        <v>87</v>
      </c>
      <c r="C80" s="15" t="s">
        <v>28</v>
      </c>
      <c r="D80" s="16" t="s">
        <v>178</v>
      </c>
      <c r="E80" s="35">
        <f>Data_Scores!V80*0.33</f>
        <v>0.3223022202</v>
      </c>
      <c r="F80" s="35">
        <f>Data_Scores!U80*0.33</f>
        <v>0.2505555556</v>
      </c>
      <c r="G80" s="35">
        <f>Data_Scores!P80*0.33*0.33</f>
        <v>0.09585098039</v>
      </c>
      <c r="H80" s="35">
        <f>Data_Scores!Q80*0.33*0.33</f>
        <v>0.04159219713</v>
      </c>
      <c r="I80" s="35">
        <f>(Data_Scores!R80+Data_Scores!S80+Data_Scores!T80)*0.33*0.33*0.33</f>
        <v>0.03962417775</v>
      </c>
      <c r="J80" s="36">
        <f t="shared" si="1"/>
        <v>0.1770673553</v>
      </c>
      <c r="K80" s="32">
        <f t="shared" si="2"/>
        <v>0.749925131</v>
      </c>
      <c r="L80" s="34"/>
    </row>
    <row r="81" ht="15.0" customHeight="1">
      <c r="A81" s="16" t="s">
        <v>35</v>
      </c>
      <c r="B81" s="16" t="s">
        <v>87</v>
      </c>
      <c r="C81" s="15" t="s">
        <v>28</v>
      </c>
      <c r="D81" s="16" t="s">
        <v>180</v>
      </c>
      <c r="E81" s="35">
        <f>Data_Scores!V81*0.33</f>
        <v>0.3241967473</v>
      </c>
      <c r="F81" s="35">
        <f>Data_Scores!U81*0.33</f>
        <v>0.2289795918</v>
      </c>
      <c r="G81" s="35">
        <f>Data_Scores!P81*0.33*0.33</f>
        <v>0.100561949</v>
      </c>
      <c r="H81" s="35">
        <f>Data_Scores!Q81*0.33*0.33</f>
        <v>0.08090963855</v>
      </c>
      <c r="I81" s="35">
        <f>(Data_Scores!R81+Data_Scores!S81+Data_Scores!T81)*0.33*0.33*0.33</f>
        <v>0.06017302719</v>
      </c>
      <c r="J81" s="36">
        <f t="shared" si="1"/>
        <v>0.2416446147</v>
      </c>
      <c r="K81" s="32">
        <f t="shared" si="2"/>
        <v>0.7948209539</v>
      </c>
      <c r="L81" s="34"/>
    </row>
    <row r="82" ht="15.0" customHeight="1">
      <c r="A82" s="16" t="s">
        <v>22</v>
      </c>
      <c r="B82" s="16" t="s">
        <v>87</v>
      </c>
      <c r="C82" s="15" t="s">
        <v>159</v>
      </c>
      <c r="D82" s="16" t="s">
        <v>159</v>
      </c>
      <c r="E82" s="35">
        <f>Data_Scores!V82*0.33</f>
        <v>0.318813738</v>
      </c>
      <c r="F82" s="35">
        <f>Data_Scores!U82*0.33</f>
        <v>0.193359375</v>
      </c>
      <c r="G82" s="35">
        <f>Data_Scores!P82*0.33*0.33</f>
        <v>0.0903498998</v>
      </c>
      <c r="H82" s="35">
        <f>Data_Scores!Q82*0.33*0.33</f>
        <v>0.06984246575</v>
      </c>
      <c r="I82" s="35">
        <f>(Data_Scores!R82+Data_Scores!S82+Data_Scores!T82)*0.33*0.33*0.33</f>
        <v>0.04638344312</v>
      </c>
      <c r="J82" s="36">
        <f t="shared" si="1"/>
        <v>0.2065758087</v>
      </c>
      <c r="K82" s="32">
        <f t="shared" si="2"/>
        <v>0.7187489217</v>
      </c>
      <c r="L82" s="33">
        <f>(K82+K83+K84+K85+K86)*0.2</f>
        <v>0.7208092838</v>
      </c>
    </row>
    <row r="83" ht="15.0" customHeight="1">
      <c r="A83" s="16" t="s">
        <v>26</v>
      </c>
      <c r="B83" s="16" t="s">
        <v>87</v>
      </c>
      <c r="C83" s="15" t="s">
        <v>159</v>
      </c>
      <c r="D83" s="16" t="s">
        <v>182</v>
      </c>
      <c r="E83" s="35">
        <f>Data_Scores!V83*0.33</f>
        <v>0.3229637757</v>
      </c>
      <c r="F83" s="35">
        <f>Data_Scores!U83*0.33</f>
        <v>0.1418421053</v>
      </c>
      <c r="G83" s="35">
        <f>Data_Scores!P83*0.33*0.33</f>
        <v>0.08944558522</v>
      </c>
      <c r="H83" s="35">
        <f>Data_Scores!Q83*0.33*0.33</f>
        <v>0.07167662957</v>
      </c>
      <c r="I83" s="35">
        <f>(Data_Scores!R83+Data_Scores!S83+Data_Scores!T83)*0.33*0.33*0.33</f>
        <v>0.0313319582</v>
      </c>
      <c r="J83" s="36">
        <f t="shared" si="1"/>
        <v>0.192454173</v>
      </c>
      <c r="K83" s="32">
        <f t="shared" si="2"/>
        <v>0.657260054</v>
      </c>
      <c r="L83" s="34"/>
    </row>
    <row r="84" ht="15.0" customHeight="1">
      <c r="A84" s="16" t="s">
        <v>29</v>
      </c>
      <c r="B84" s="16" t="s">
        <v>87</v>
      </c>
      <c r="C84" s="15" t="s">
        <v>159</v>
      </c>
      <c r="D84" s="16" t="s">
        <v>184</v>
      </c>
      <c r="E84" s="35">
        <f>Data_Scores!V84*0.33</f>
        <v>0.3211028345</v>
      </c>
      <c r="F84" s="35">
        <f>Data_Scores!U84*0.33</f>
        <v>0.2</v>
      </c>
      <c r="G84" s="35">
        <f>Data_Scores!P84*0.33*0.33</f>
        <v>0.09203806452</v>
      </c>
      <c r="H84" s="35">
        <f>Data_Scores!Q84*0.33*0.33</f>
        <v>0.08316748582</v>
      </c>
      <c r="I84" s="35">
        <f>(Data_Scores!R84+Data_Scores!S84+Data_Scores!T84)*0.33*0.33*0.33</f>
        <v>0.03213793495</v>
      </c>
      <c r="J84" s="36">
        <f t="shared" si="1"/>
        <v>0.2073434853</v>
      </c>
      <c r="K84" s="32">
        <f t="shared" si="2"/>
        <v>0.7284463198</v>
      </c>
      <c r="L84" s="34"/>
    </row>
    <row r="85" ht="15.0" customHeight="1">
      <c r="A85" s="16" t="s">
        <v>32</v>
      </c>
      <c r="B85" s="16" t="s">
        <v>87</v>
      </c>
      <c r="C85" s="15" t="s">
        <v>159</v>
      </c>
      <c r="D85" s="16" t="s">
        <v>185</v>
      </c>
      <c r="E85" s="35">
        <f>Data_Scores!V85*0.33</f>
        <v>0.3245357321</v>
      </c>
      <c r="F85" s="35">
        <f>Data_Scores!U85*0.33</f>
        <v>0.2444444444</v>
      </c>
      <c r="G85" s="35">
        <f>Data_Scores!P85*0.33*0.33</f>
        <v>0.09252941176</v>
      </c>
      <c r="H85" s="35">
        <f>Data_Scores!Q85*0.33*0.33</f>
        <v>0.04326930185</v>
      </c>
      <c r="I85" s="35">
        <f>(Data_Scores!R85+Data_Scores!S85+Data_Scores!T85)*0.33*0.33*0.33</f>
        <v>0.03443096965</v>
      </c>
      <c r="J85" s="36">
        <f t="shared" si="1"/>
        <v>0.1702296833</v>
      </c>
      <c r="K85" s="32">
        <f t="shared" si="2"/>
        <v>0.7392098598</v>
      </c>
      <c r="L85" s="34"/>
    </row>
    <row r="86" ht="15.0" customHeight="1">
      <c r="A86" s="16" t="s">
        <v>35</v>
      </c>
      <c r="B86" s="16" t="s">
        <v>87</v>
      </c>
      <c r="C86" s="15" t="s">
        <v>159</v>
      </c>
      <c r="D86" s="16" t="s">
        <v>187</v>
      </c>
      <c r="E86" s="35">
        <f>Data_Scores!V86*0.33</f>
        <v>0.3270726339</v>
      </c>
      <c r="F86" s="35">
        <f>Data_Scores!U86*0.33</f>
        <v>0.2155102041</v>
      </c>
      <c r="G86" s="35">
        <f>Data_Scores!P86*0.33*0.33</f>
        <v>0.100561949</v>
      </c>
      <c r="H86" s="35">
        <f>Data_Scores!Q86*0.33*0.33</f>
        <v>0.07762951807</v>
      </c>
      <c r="I86" s="35">
        <f>(Data_Scores!R86+Data_Scores!S86+Data_Scores!T86)*0.33*0.33*0.33</f>
        <v>0.03960695889</v>
      </c>
      <c r="J86" s="36">
        <f t="shared" si="1"/>
        <v>0.2177984259</v>
      </c>
      <c r="K86" s="32">
        <f t="shared" si="2"/>
        <v>0.7603812639</v>
      </c>
      <c r="L86" s="34"/>
    </row>
    <row r="87" ht="15.0" customHeight="1">
      <c r="A87" s="16" t="s">
        <v>22</v>
      </c>
      <c r="B87" s="16" t="s">
        <v>87</v>
      </c>
      <c r="C87" s="15" t="s">
        <v>189</v>
      </c>
      <c r="D87" s="16" t="s">
        <v>189</v>
      </c>
      <c r="E87" s="35">
        <f>Data_Scores!V87*0.33</f>
        <v>0.3117714875</v>
      </c>
      <c r="F87" s="35">
        <f>Data_Scores!U87*0.33</f>
        <v>0.165</v>
      </c>
      <c r="G87" s="35">
        <f>Data_Scores!P87*0.33*0.33</f>
        <v>0.08620340681</v>
      </c>
      <c r="H87" s="35">
        <f>Data_Scores!Q87*0.33*0.33</f>
        <v>0.06563835616</v>
      </c>
      <c r="I87" s="35">
        <f>(Data_Scores!R87+Data_Scores!S87+Data_Scores!T87)*0.33*0.33*0.33</f>
        <v>0.04497016139</v>
      </c>
      <c r="J87" s="36">
        <f t="shared" si="1"/>
        <v>0.1968119244</v>
      </c>
      <c r="K87" s="32">
        <f t="shared" si="2"/>
        <v>0.6735834119</v>
      </c>
      <c r="L87" s="33">
        <f>(K87+K88+K89+K90+K91)*0.2</f>
        <v>0.7319995269</v>
      </c>
    </row>
    <row r="88" ht="15.0" customHeight="1">
      <c r="A88" s="16" t="s">
        <v>26</v>
      </c>
      <c r="B88" s="16" t="s">
        <v>87</v>
      </c>
      <c r="C88" s="15" t="s">
        <v>189</v>
      </c>
      <c r="D88" s="16" t="s">
        <v>191</v>
      </c>
      <c r="E88" s="35">
        <f>Data_Scores!V88*0.33</f>
        <v>0.3217308884</v>
      </c>
      <c r="F88" s="35">
        <f>Data_Scores!U88*0.33</f>
        <v>0.1678947368</v>
      </c>
      <c r="G88" s="35">
        <f>Data_Scores!P88*0.33*0.33</f>
        <v>0.08810390144</v>
      </c>
      <c r="H88" s="35">
        <f>Data_Scores!Q88*0.33*0.33</f>
        <v>0.07254228935</v>
      </c>
      <c r="I88" s="35">
        <f>(Data_Scores!R88+Data_Scores!S88+Data_Scores!T88)*0.33*0.33*0.33</f>
        <v>0.05002705328</v>
      </c>
      <c r="J88" s="36">
        <f t="shared" si="1"/>
        <v>0.2106732441</v>
      </c>
      <c r="K88" s="32">
        <f t="shared" si="2"/>
        <v>0.7002988694</v>
      </c>
      <c r="L88" s="34"/>
    </row>
    <row r="89" ht="15.0" customHeight="1">
      <c r="A89" s="16" t="s">
        <v>29</v>
      </c>
      <c r="B89" s="16" t="s">
        <v>87</v>
      </c>
      <c r="C89" s="15" t="s">
        <v>189</v>
      </c>
      <c r="D89" s="16" t="s">
        <v>193</v>
      </c>
      <c r="E89" s="35">
        <f>Data_Scores!V89*0.33</f>
        <v>0.3217391017</v>
      </c>
      <c r="F89" s="35">
        <f>Data_Scores!U89*0.33</f>
        <v>0.225</v>
      </c>
      <c r="G89" s="35">
        <f>Data_Scores!P89*0.33*0.33</f>
        <v>0.09250645161</v>
      </c>
      <c r="H89" s="35">
        <f>Data_Scores!Q89*0.33*0.33</f>
        <v>0.09551909263</v>
      </c>
      <c r="I89" s="35">
        <f>(Data_Scores!R89+Data_Scores!S89+Data_Scores!T89)*0.33*0.33*0.33</f>
        <v>0.03406798962</v>
      </c>
      <c r="J89" s="36">
        <f t="shared" si="1"/>
        <v>0.2220935339</v>
      </c>
      <c r="K89" s="32">
        <f t="shared" si="2"/>
        <v>0.7688326356</v>
      </c>
      <c r="L89" s="34"/>
    </row>
    <row r="90" ht="15.0" customHeight="1">
      <c r="A90" s="16" t="s">
        <v>32</v>
      </c>
      <c r="B90" s="16" t="s">
        <v>87</v>
      </c>
      <c r="C90" s="15" t="s">
        <v>189</v>
      </c>
      <c r="D90" s="16" t="s">
        <v>194</v>
      </c>
      <c r="E90" s="35">
        <f>Data_Scores!V90*0.33</f>
        <v>0.3208478261</v>
      </c>
      <c r="F90" s="35">
        <f>Data_Scores!U90*0.33</f>
        <v>0.2444444444</v>
      </c>
      <c r="G90" s="35">
        <f>Data_Scores!P90*0.33*0.33</f>
        <v>0.09252941176</v>
      </c>
      <c r="H90" s="35">
        <f>Data_Scores!Q90*0.33*0.33</f>
        <v>0.05333193018</v>
      </c>
      <c r="I90" s="35">
        <f>(Data_Scores!R90+Data_Scores!S90+Data_Scores!T90)*0.33*0.33*0.33</f>
        <v>0.0392087211</v>
      </c>
      <c r="J90" s="36">
        <f t="shared" si="1"/>
        <v>0.185070063</v>
      </c>
      <c r="K90" s="32">
        <f t="shared" si="2"/>
        <v>0.7503623336</v>
      </c>
      <c r="L90" s="34"/>
    </row>
    <row r="91" ht="15.0" customHeight="1">
      <c r="A91" s="16" t="s">
        <v>35</v>
      </c>
      <c r="B91" s="16" t="s">
        <v>87</v>
      </c>
      <c r="C91" s="15" t="s">
        <v>189</v>
      </c>
      <c r="D91" s="16" t="s">
        <v>196</v>
      </c>
      <c r="E91" s="35">
        <f>Data_Scores!V91*0.33</f>
        <v>0.3267021985</v>
      </c>
      <c r="F91" s="35">
        <f>Data_Scores!U91*0.33</f>
        <v>0.2020408163</v>
      </c>
      <c r="G91" s="35">
        <f>Data_Scores!P91*0.33*0.33</f>
        <v>0.09727726218</v>
      </c>
      <c r="H91" s="35">
        <f>Data_Scores!Q91*0.33*0.33</f>
        <v>0.1003716867</v>
      </c>
      <c r="I91" s="35">
        <f>(Data_Scores!R91+Data_Scores!S91+Data_Scores!T91)*0.33*0.33*0.33</f>
        <v>0.04052842042</v>
      </c>
      <c r="J91" s="36">
        <f t="shared" si="1"/>
        <v>0.2381773694</v>
      </c>
      <c r="K91" s="32">
        <f t="shared" si="2"/>
        <v>0.7669203842</v>
      </c>
      <c r="L91" s="34"/>
    </row>
    <row r="92" ht="15.0" customHeight="1">
      <c r="A92" s="16" t="s">
        <v>22</v>
      </c>
      <c r="B92" s="16" t="s">
        <v>87</v>
      </c>
      <c r="C92" s="15" t="s">
        <v>198</v>
      </c>
      <c r="D92" s="16" t="s">
        <v>198</v>
      </c>
      <c r="E92" s="35">
        <f>Data_Scores!V92*0.33</f>
        <v>0.3271438875</v>
      </c>
      <c r="F92" s="35">
        <f>Data_Scores!U92*0.33</f>
        <v>0.183046875</v>
      </c>
      <c r="G92" s="35">
        <f>Data_Scores!P92*0.33*0.33</f>
        <v>0.08882224449</v>
      </c>
      <c r="H92" s="35">
        <f>Data_Scores!Q92*0.33*0.33</f>
        <v>0.06482465753</v>
      </c>
      <c r="I92" s="35">
        <f>(Data_Scores!R92+Data_Scores!S92+Data_Scores!T92)*0.33*0.33*0.33</f>
        <v>0.0434719283</v>
      </c>
      <c r="J92" s="36">
        <f t="shared" si="1"/>
        <v>0.1971188303</v>
      </c>
      <c r="K92" s="32">
        <f t="shared" si="2"/>
        <v>0.7073095928</v>
      </c>
      <c r="L92" s="33">
        <f>(K92+K93+K94+K95+K96)*0.2</f>
        <v>0.7514783954</v>
      </c>
    </row>
    <row r="93" ht="15.0" customHeight="1">
      <c r="A93" s="16" t="s">
        <v>26</v>
      </c>
      <c r="B93" s="16" t="s">
        <v>87</v>
      </c>
      <c r="C93" s="15" t="s">
        <v>198</v>
      </c>
      <c r="D93" s="16" t="s">
        <v>200</v>
      </c>
      <c r="E93" s="35">
        <f>Data_Scores!V93*0.33</f>
        <v>0.322225018</v>
      </c>
      <c r="F93" s="35">
        <f>Data_Scores!U93*0.33</f>
        <v>0.1563157895</v>
      </c>
      <c r="G93" s="35">
        <f>Data_Scores!P93*0.33*0.33</f>
        <v>0.08899835729</v>
      </c>
      <c r="H93" s="35">
        <f>Data_Scores!Q93*0.33*0.33</f>
        <v>0.0789481717</v>
      </c>
      <c r="I93" s="35">
        <f>(Data_Scores!R93+Data_Scores!S93+Data_Scores!T93)*0.33*0.33*0.33</f>
        <v>0.04932991475</v>
      </c>
      <c r="J93" s="36">
        <f t="shared" si="1"/>
        <v>0.2172764437</v>
      </c>
      <c r="K93" s="32">
        <f t="shared" si="2"/>
        <v>0.6958172512</v>
      </c>
      <c r="L93" s="34"/>
    </row>
    <row r="94" ht="15.0" customHeight="1">
      <c r="A94" s="16" t="s">
        <v>29</v>
      </c>
      <c r="B94" s="16" t="s">
        <v>87</v>
      </c>
      <c r="C94" s="15" t="s">
        <v>198</v>
      </c>
      <c r="D94" s="16" t="s">
        <v>202</v>
      </c>
      <c r="E94" s="35">
        <f>Data_Scores!V94*0.33</f>
        <v>0.3174305171</v>
      </c>
      <c r="F94" s="35">
        <f>Data_Scores!U94*0.33</f>
        <v>0.235</v>
      </c>
      <c r="G94" s="35">
        <f>Data_Scores!P94*0.33*0.33</f>
        <v>0.09297483871</v>
      </c>
      <c r="H94" s="35">
        <f>Data_Scores!Q94*0.33*0.33</f>
        <v>0.08707882798</v>
      </c>
      <c r="I94" s="35">
        <f>(Data_Scores!R94+Data_Scores!S94+Data_Scores!T94)*0.33*0.33*0.33</f>
        <v>0.03017773495</v>
      </c>
      <c r="J94" s="36">
        <f t="shared" si="1"/>
        <v>0.2102314016</v>
      </c>
      <c r="K94" s="32">
        <f t="shared" si="2"/>
        <v>0.7626619187</v>
      </c>
      <c r="L94" s="34"/>
    </row>
    <row r="95" ht="15.0" customHeight="1">
      <c r="A95" s="16" t="s">
        <v>32</v>
      </c>
      <c r="B95" s="16" t="s">
        <v>87</v>
      </c>
      <c r="C95" s="15" t="s">
        <v>198</v>
      </c>
      <c r="D95" s="16" t="s">
        <v>204</v>
      </c>
      <c r="E95" s="35">
        <f>Data_Scores!V95*0.33</f>
        <v>0.3249037724</v>
      </c>
      <c r="F95" s="35">
        <f>Data_Scores!U95*0.33</f>
        <v>0.2566666667</v>
      </c>
      <c r="G95" s="35">
        <f>Data_Scores!P95*0.33*0.33</f>
        <v>0.09419019608</v>
      </c>
      <c r="H95" s="35">
        <f>Data_Scores!Q95*0.33*0.33</f>
        <v>0.04572905544</v>
      </c>
      <c r="I95" s="35">
        <f>(Data_Scores!R95+Data_Scores!S95+Data_Scores!T95)*0.33*0.33*0.33</f>
        <v>0.03401551301</v>
      </c>
      <c r="J95" s="36">
        <f t="shared" si="1"/>
        <v>0.1739347645</v>
      </c>
      <c r="K95" s="32">
        <f t="shared" si="2"/>
        <v>0.7555052036</v>
      </c>
      <c r="L95" s="34"/>
    </row>
    <row r="96" ht="15.0" customHeight="1">
      <c r="A96" s="16" t="s">
        <v>35</v>
      </c>
      <c r="B96" s="16" t="s">
        <v>87</v>
      </c>
      <c r="C96" s="15" t="s">
        <v>198</v>
      </c>
      <c r="D96" s="16" t="s">
        <v>206</v>
      </c>
      <c r="E96" s="35">
        <f>Data_Scores!V96*0.33</f>
        <v>0.3285848298</v>
      </c>
      <c r="F96" s="35">
        <f>Data_Scores!U96*0.33</f>
        <v>0.276122449</v>
      </c>
      <c r="G96" s="35">
        <f>Data_Scores!P96*0.33*0.33</f>
        <v>0.100561949</v>
      </c>
      <c r="H96" s="35">
        <f>Data_Scores!Q96*0.33*0.33</f>
        <v>0.08222168675</v>
      </c>
      <c r="I96" s="35">
        <f>(Data_Scores!R96+Data_Scores!S96+Data_Scores!T96)*0.33*0.33*0.33</f>
        <v>0.04860709615</v>
      </c>
      <c r="J96" s="36">
        <f t="shared" si="1"/>
        <v>0.2313907319</v>
      </c>
      <c r="K96" s="32">
        <f t="shared" si="2"/>
        <v>0.8360980106</v>
      </c>
      <c r="L96" s="34"/>
    </row>
    <row r="97" ht="15.0" customHeight="1">
      <c r="A97" s="16" t="s">
        <v>22</v>
      </c>
      <c r="B97" s="16" t="s">
        <v>87</v>
      </c>
      <c r="C97" s="15" t="s">
        <v>168</v>
      </c>
      <c r="D97" s="16" t="s">
        <v>168</v>
      </c>
      <c r="E97" s="35">
        <f>Data_Scores!V97*0.33</f>
        <v>0.33</v>
      </c>
      <c r="F97" s="35">
        <f>Data_Scores!U97*0.33</f>
        <v>0.188203125</v>
      </c>
      <c r="G97" s="35">
        <f>Data_Scores!P97*0.33*0.33</f>
        <v>0.07943807615</v>
      </c>
      <c r="H97" s="35">
        <f>Data_Scores!Q97*0.33*0.33</f>
        <v>0.08543835616</v>
      </c>
      <c r="I97" s="35">
        <f>(Data_Scores!R97+Data_Scores!S97+Data_Scores!T97)*0.33*0.33*0.33</f>
        <v>0.03817405251</v>
      </c>
      <c r="J97" s="36">
        <f t="shared" si="1"/>
        <v>0.2030504848</v>
      </c>
      <c r="K97" s="32">
        <f t="shared" si="2"/>
        <v>0.7212536098</v>
      </c>
      <c r="L97" s="33">
        <f>(K97+K98+K99+K100+K101)*0.2</f>
        <v>0.6828418569</v>
      </c>
    </row>
    <row r="98" ht="15.0" customHeight="1">
      <c r="A98" s="16" t="s">
        <v>26</v>
      </c>
      <c r="B98" s="16" t="s">
        <v>87</v>
      </c>
      <c r="C98" s="15" t="s">
        <v>168</v>
      </c>
      <c r="D98" s="16" t="s">
        <v>209</v>
      </c>
      <c r="E98" s="35">
        <f>Data_Scores!V98*0.33</f>
        <v>0.3280131062</v>
      </c>
      <c r="F98" s="35">
        <f>Data_Scores!U98*0.33</f>
        <v>0.1273684211</v>
      </c>
      <c r="G98" s="35">
        <f>Data_Scores!P98*0.33*0.33</f>
        <v>0.08452607803</v>
      </c>
      <c r="H98" s="35">
        <f>Data_Scores!Q98*0.33*0.33</f>
        <v>0.08535405405</v>
      </c>
      <c r="I98" s="35">
        <f>(Data_Scores!R98+Data_Scores!S98+Data_Scores!T98)*0.33*0.33*0.33</f>
        <v>0.04069423402</v>
      </c>
      <c r="J98" s="36">
        <f t="shared" si="1"/>
        <v>0.2105743661</v>
      </c>
      <c r="K98" s="32">
        <f t="shared" si="2"/>
        <v>0.6659558934</v>
      </c>
      <c r="L98" s="34"/>
    </row>
    <row r="99" ht="15.0" customHeight="1">
      <c r="A99" s="16" t="s">
        <v>29</v>
      </c>
      <c r="B99" s="16" t="s">
        <v>87</v>
      </c>
      <c r="C99" s="15" t="s">
        <v>168</v>
      </c>
      <c r="D99" s="16" t="s">
        <v>210</v>
      </c>
      <c r="E99" s="35">
        <f>Data_Scores!V99*0.33</f>
        <v>0.3280774541</v>
      </c>
      <c r="F99" s="35">
        <f>Data_Scores!U99*0.33</f>
        <v>0.175</v>
      </c>
      <c r="G99" s="35">
        <f>Data_Scores!P99*0.33*0.33</f>
        <v>0.08993032258</v>
      </c>
      <c r="H99" s="35">
        <f>Data_Scores!Q99*0.33*0.33</f>
        <v>0.07843270321</v>
      </c>
      <c r="I99" s="35">
        <f>(Data_Scores!R99+Data_Scores!S99+Data_Scores!T99)*0.33*0.33*0.33</f>
        <v>0.01844818754</v>
      </c>
      <c r="J99" s="36">
        <f t="shared" si="1"/>
        <v>0.1868112133</v>
      </c>
      <c r="K99" s="32">
        <f t="shared" si="2"/>
        <v>0.6898886675</v>
      </c>
      <c r="L99" s="34"/>
    </row>
    <row r="100" ht="15.0" customHeight="1">
      <c r="A100" s="16" t="s">
        <v>32</v>
      </c>
      <c r="B100" s="16" t="s">
        <v>87</v>
      </c>
      <c r="C100" s="15" t="s">
        <v>168</v>
      </c>
      <c r="D100" s="16" t="s">
        <v>212</v>
      </c>
      <c r="E100" s="35">
        <f>Data_Scores!V100*0.33</f>
        <v>0.3273825368</v>
      </c>
      <c r="F100" s="35">
        <f>Data_Scores!U100*0.33</f>
        <v>0.1711111111</v>
      </c>
      <c r="G100" s="35">
        <f>Data_Scores!P100*0.33*0.33</f>
        <v>0.09229215686</v>
      </c>
      <c r="H100" s="35">
        <f>Data_Scores!Q100*0.33*0.33</f>
        <v>0.03711991786</v>
      </c>
      <c r="I100" s="35">
        <f>(Data_Scores!R100+Data_Scores!S100+Data_Scores!T100)*0.33*0.33*0.33</f>
        <v>0.0214998815</v>
      </c>
      <c r="J100" s="36">
        <f t="shared" si="1"/>
        <v>0.1509119562</v>
      </c>
      <c r="K100" s="32">
        <f t="shared" si="2"/>
        <v>0.6494056041</v>
      </c>
      <c r="L100" s="34"/>
    </row>
    <row r="101" ht="15.0" customHeight="1">
      <c r="A101" s="16" t="s">
        <v>35</v>
      </c>
      <c r="B101" s="16" t="s">
        <v>87</v>
      </c>
      <c r="C101" s="15" t="s">
        <v>168</v>
      </c>
      <c r="D101" s="16" t="s">
        <v>214</v>
      </c>
      <c r="E101" s="35">
        <f>Data_Scores!V101*0.33</f>
        <v>0.3295121623</v>
      </c>
      <c r="F101" s="35">
        <f>Data_Scores!U101*0.33</f>
        <v>0.1548979592</v>
      </c>
      <c r="G101" s="35">
        <f>Data_Scores!P101*0.33*0.33</f>
        <v>0.09980394432</v>
      </c>
      <c r="H101" s="35">
        <f>Data_Scores!Q101*0.33*0.33</f>
        <v>0.07128795181</v>
      </c>
      <c r="I101" s="35">
        <f>(Data_Scores!R101+Data_Scores!S101+Data_Scores!T101)*0.33*0.33*0.33</f>
        <v>0.03220349204</v>
      </c>
      <c r="J101" s="36">
        <f t="shared" si="1"/>
        <v>0.2032953882</v>
      </c>
      <c r="K101" s="32">
        <f t="shared" si="2"/>
        <v>0.6877055097</v>
      </c>
      <c r="L101" s="34"/>
    </row>
    <row r="102" ht="15.0" customHeight="1">
      <c r="A102" s="23" t="s">
        <v>22</v>
      </c>
      <c r="B102" s="23" t="s">
        <v>216</v>
      </c>
      <c r="C102" s="22" t="s">
        <v>217</v>
      </c>
      <c r="D102" s="23" t="s">
        <v>217</v>
      </c>
      <c r="E102" s="37">
        <f>Data_Scores!V102*0.33</f>
        <v>0.3208949416</v>
      </c>
      <c r="F102" s="37">
        <f>Data_Scores!U102*0.33</f>
        <v>0.165</v>
      </c>
      <c r="G102" s="37">
        <f>Data_Scores!P102*0.33*0.33</f>
        <v>0.08816753507</v>
      </c>
      <c r="H102" s="37">
        <f>Data_Scores!Q102*0.33*0.33</f>
        <v>0.05573835616</v>
      </c>
      <c r="I102" s="37">
        <f>(Data_Scores!R102+Data_Scores!S102+Data_Scores!T102)*0.33*0.33*0.33</f>
        <v>0.04358390963</v>
      </c>
      <c r="J102" s="38">
        <f t="shared" si="1"/>
        <v>0.1874898009</v>
      </c>
      <c r="K102" s="32">
        <f t="shared" si="2"/>
        <v>0.6733847425</v>
      </c>
      <c r="L102" s="33">
        <f>(K102+K103+K104+K105+K106)*0.2</f>
        <v>0.5621514906</v>
      </c>
    </row>
    <row r="103" ht="15.0" customHeight="1">
      <c r="A103" s="23" t="s">
        <v>26</v>
      </c>
      <c r="B103" s="23" t="s">
        <v>216</v>
      </c>
      <c r="C103" s="22" t="s">
        <v>217</v>
      </c>
      <c r="D103" s="23" t="s">
        <v>219</v>
      </c>
      <c r="E103" s="37">
        <f>Data_Scores!V103*0.33</f>
        <v>0.3191691212</v>
      </c>
      <c r="F103" s="37">
        <f>Data_Scores!U103*0.33</f>
        <v>0.08684210526</v>
      </c>
      <c r="G103" s="37">
        <f>Data_Scores!P103*0.33*0.33</f>
        <v>0.09101088296</v>
      </c>
      <c r="H103" s="37">
        <f>Data_Scores!Q103*0.33*0.33</f>
        <v>0.04380238474</v>
      </c>
      <c r="I103" s="37">
        <f>(Data_Scores!R103+Data_Scores!S103+Data_Scores!T103)*0.33*0.33*0.33</f>
        <v>0.02226915738</v>
      </c>
      <c r="J103" s="38">
        <f t="shared" si="1"/>
        <v>0.1570824251</v>
      </c>
      <c r="K103" s="32">
        <f t="shared" si="2"/>
        <v>0.5630936516</v>
      </c>
      <c r="L103" s="34"/>
    </row>
    <row r="104" ht="15.0" customHeight="1">
      <c r="A104" s="23" t="s">
        <v>29</v>
      </c>
      <c r="B104" s="23" t="s">
        <v>216</v>
      </c>
      <c r="C104" s="22" t="s">
        <v>217</v>
      </c>
      <c r="D104" s="23" t="s">
        <v>221</v>
      </c>
      <c r="E104" s="37">
        <f>Data_Scores!V104*0.33</f>
        <v>0.3174408602</v>
      </c>
      <c r="F104" s="37">
        <f>Data_Scores!U104*0.33</f>
        <v>0.075</v>
      </c>
      <c r="G104" s="37">
        <f>Data_Scores!P104*0.33*0.33</f>
        <v>0.09601935484</v>
      </c>
      <c r="H104" s="37">
        <f>Data_Scores!Q104*0.33*0.33</f>
        <v>0.03499621928</v>
      </c>
      <c r="I104" s="37">
        <f>(Data_Scores!R104+Data_Scores!S104+Data_Scores!T104)*0.33*0.33*0.33</f>
        <v>0.01346893287</v>
      </c>
      <c r="J104" s="38">
        <f t="shared" si="1"/>
        <v>0.144484507</v>
      </c>
      <c r="K104" s="32">
        <f t="shared" si="2"/>
        <v>0.5369253672</v>
      </c>
      <c r="L104" s="34"/>
    </row>
    <row r="105" ht="15.0" customHeight="1">
      <c r="A105" s="23" t="s">
        <v>32</v>
      </c>
      <c r="B105" s="23" t="s">
        <v>216</v>
      </c>
      <c r="C105" s="22" t="s">
        <v>217</v>
      </c>
      <c r="D105" s="23" t="s">
        <v>223</v>
      </c>
      <c r="E105" s="37">
        <f>Data_Scores!V105*0.33</f>
        <v>0.3156289288</v>
      </c>
      <c r="F105" s="37">
        <f>Data_Scores!U105*0.33</f>
        <v>0.055</v>
      </c>
      <c r="G105" s="37">
        <f>Data_Scores!P105*0.33*0.33</f>
        <v>0.09846078431</v>
      </c>
      <c r="H105" s="37">
        <f>Data_Scores!Q105*0.33*0.33</f>
        <v>0.01475852156</v>
      </c>
      <c r="I105" s="37">
        <f>(Data_Scores!R105+Data_Scores!S105+Data_Scores!T105)*0.33*0.33*0.33</f>
        <v>0.02290204769</v>
      </c>
      <c r="J105" s="38">
        <f t="shared" si="1"/>
        <v>0.1361213536</v>
      </c>
      <c r="K105" s="32">
        <f t="shared" si="2"/>
        <v>0.5067502823</v>
      </c>
      <c r="L105" s="34"/>
    </row>
    <row r="106" ht="15.0" customHeight="1">
      <c r="A106" s="23" t="s">
        <v>35</v>
      </c>
      <c r="B106" s="23" t="s">
        <v>216</v>
      </c>
      <c r="C106" s="22" t="s">
        <v>217</v>
      </c>
      <c r="D106" s="23" t="s">
        <v>225</v>
      </c>
      <c r="E106" s="37">
        <f>Data_Scores!V106*0.33</f>
        <v>0.3122146882</v>
      </c>
      <c r="F106" s="37">
        <f>Data_Scores!U106*0.33</f>
        <v>0.04040816327</v>
      </c>
      <c r="G106" s="37">
        <f>Data_Scores!P106*0.33*0.33</f>
        <v>0.1086473318</v>
      </c>
      <c r="H106" s="37">
        <f>Data_Scores!Q106*0.33*0.33</f>
        <v>0.03979879518</v>
      </c>
      <c r="I106" s="37">
        <f>(Data_Scores!R106+Data_Scores!S106+Data_Scores!T106)*0.33*0.33*0.33</f>
        <v>0.02953443103</v>
      </c>
      <c r="J106" s="38">
        <f t="shared" si="1"/>
        <v>0.177980558</v>
      </c>
      <c r="K106" s="32">
        <f t="shared" si="2"/>
        <v>0.5306034095</v>
      </c>
      <c r="L106" s="34"/>
    </row>
    <row r="107" ht="15.0" customHeight="1">
      <c r="A107" s="23" t="s">
        <v>22</v>
      </c>
      <c r="B107" s="23" t="s">
        <v>216</v>
      </c>
      <c r="C107" s="22" t="s">
        <v>110</v>
      </c>
      <c r="D107" s="23" t="s">
        <v>110</v>
      </c>
      <c r="E107" s="37">
        <f>Data_Scores!V107*0.33</f>
        <v>0.3156771377</v>
      </c>
      <c r="F107" s="37">
        <f>Data_Scores!U107*0.33</f>
        <v>0.26296875</v>
      </c>
      <c r="G107" s="37">
        <f>Data_Scores!P107*0.33*0.33</f>
        <v>0.08947695391</v>
      </c>
      <c r="H107" s="37">
        <f>Data_Scores!Q107*0.33*0.33</f>
        <v>0.1089</v>
      </c>
      <c r="I107" s="37">
        <f>(Data_Scores!R107+Data_Scores!S107+Data_Scores!T107)*0.33*0.33*0.33</f>
        <v>0.06183558084</v>
      </c>
      <c r="J107" s="38">
        <f t="shared" si="1"/>
        <v>0.2602125347</v>
      </c>
      <c r="K107" s="32">
        <f t="shared" si="2"/>
        <v>0.8388584225</v>
      </c>
      <c r="L107" s="33">
        <f>(K107+K108+K109+K110+K111)*0.2</f>
        <v>0.6148388371</v>
      </c>
    </row>
    <row r="108" ht="15.0" customHeight="1">
      <c r="A108" s="23" t="s">
        <v>26</v>
      </c>
      <c r="B108" s="23" t="s">
        <v>216</v>
      </c>
      <c r="C108" s="22" t="s">
        <v>110</v>
      </c>
      <c r="D108" s="23" t="s">
        <v>228</v>
      </c>
      <c r="E108" s="37">
        <f>Data_Scores!V108*0.33</f>
        <v>0.309317419</v>
      </c>
      <c r="F108" s="37">
        <f>Data_Scores!U108*0.33</f>
        <v>0.1244736842</v>
      </c>
      <c r="G108" s="37">
        <f>Data_Scores!P108*0.33*0.33</f>
        <v>0.09190533881</v>
      </c>
      <c r="H108" s="37">
        <f>Data_Scores!Q108*0.33*0.33</f>
        <v>0.07358108108</v>
      </c>
      <c r="I108" s="37">
        <f>(Data_Scores!R108+Data_Scores!S108+Data_Scores!T108)*0.33*0.33*0.33</f>
        <v>0.04392463648</v>
      </c>
      <c r="J108" s="38">
        <f t="shared" si="1"/>
        <v>0.2094110564</v>
      </c>
      <c r="K108" s="32">
        <f t="shared" si="2"/>
        <v>0.6432021596</v>
      </c>
      <c r="L108" s="34"/>
    </row>
    <row r="109" ht="15.0" customHeight="1">
      <c r="A109" s="23" t="s">
        <v>29</v>
      </c>
      <c r="B109" s="23" t="s">
        <v>216</v>
      </c>
      <c r="C109" s="22" t="s">
        <v>110</v>
      </c>
      <c r="D109" s="23" t="s">
        <v>230</v>
      </c>
      <c r="E109" s="37">
        <f>Data_Scores!V109*0.33</f>
        <v>0.3156103408</v>
      </c>
      <c r="F109" s="37">
        <f>Data_Scores!U109*0.33</f>
        <v>0.08</v>
      </c>
      <c r="G109" s="37">
        <f>Data_Scores!P109*0.33*0.33</f>
        <v>0.09859548387</v>
      </c>
      <c r="H109" s="37">
        <f>Data_Scores!Q109*0.33*0.33</f>
        <v>0.03952514178</v>
      </c>
      <c r="I109" s="37">
        <f>(Data_Scores!R109+Data_Scores!S109+Data_Scores!T109)*0.33*0.33*0.33</f>
        <v>0.01782493287</v>
      </c>
      <c r="J109" s="38">
        <f t="shared" si="1"/>
        <v>0.1559455585</v>
      </c>
      <c r="K109" s="32">
        <f t="shared" si="2"/>
        <v>0.5515558993</v>
      </c>
      <c r="L109" s="34"/>
    </row>
    <row r="110" ht="15.0" customHeight="1">
      <c r="A110" s="23" t="s">
        <v>32</v>
      </c>
      <c r="B110" s="23" t="s">
        <v>216</v>
      </c>
      <c r="C110" s="22" t="s">
        <v>110</v>
      </c>
      <c r="D110" s="23" t="s">
        <v>232</v>
      </c>
      <c r="E110" s="37">
        <f>Data_Scores!V110*0.33</f>
        <v>0.3152305751</v>
      </c>
      <c r="F110" s="37">
        <f>Data_Scores!U110*0.33</f>
        <v>0.07333333333</v>
      </c>
      <c r="G110" s="37">
        <f>Data_Scores!P110*0.33*0.33</f>
        <v>0.09964705882</v>
      </c>
      <c r="H110" s="37">
        <f>Data_Scores!Q110*0.33*0.33</f>
        <v>0.01643562628</v>
      </c>
      <c r="I110" s="37">
        <f>(Data_Scores!R110+Data_Scores!S110+Data_Scores!T110)*0.33*0.33*0.33</f>
        <v>0.02747207081</v>
      </c>
      <c r="J110" s="38">
        <f t="shared" si="1"/>
        <v>0.1435547559</v>
      </c>
      <c r="K110" s="32">
        <f t="shared" si="2"/>
        <v>0.5321186643</v>
      </c>
      <c r="L110" s="34"/>
    </row>
    <row r="111" ht="15.0" customHeight="1">
      <c r="A111" s="23" t="s">
        <v>35</v>
      </c>
      <c r="B111" s="23" t="s">
        <v>216</v>
      </c>
      <c r="C111" s="22" t="s">
        <v>110</v>
      </c>
      <c r="D111" s="23" t="s">
        <v>234</v>
      </c>
      <c r="E111" s="37">
        <f>Data_Scores!V111*0.33</f>
        <v>0.3182942265</v>
      </c>
      <c r="F111" s="37">
        <f>Data_Scores!U111*0.33</f>
        <v>0.04040816327</v>
      </c>
      <c r="G111" s="37">
        <f>Data_Scores!P111*0.33*0.33</f>
        <v>0.1089</v>
      </c>
      <c r="H111" s="37">
        <f>Data_Scores!Q111*0.33*0.33</f>
        <v>0.02952108434</v>
      </c>
      <c r="I111" s="37">
        <f>(Data_Scores!R111+Data_Scores!S111+Data_Scores!T111)*0.33*0.33*0.33</f>
        <v>0.01133556565</v>
      </c>
      <c r="J111" s="38">
        <f t="shared" si="1"/>
        <v>0.14975665</v>
      </c>
      <c r="K111" s="32">
        <f t="shared" si="2"/>
        <v>0.5084590397</v>
      </c>
      <c r="L111" s="34"/>
    </row>
    <row r="112" ht="15.0" customHeight="1">
      <c r="A112" s="23" t="s">
        <v>22</v>
      </c>
      <c r="B112" s="23" t="s">
        <v>216</v>
      </c>
      <c r="C112" s="22" t="s">
        <v>120</v>
      </c>
      <c r="D112" s="23" t="s">
        <v>120</v>
      </c>
      <c r="E112" s="37">
        <f>Data_Scores!V112*0.33</f>
        <v>0.3201536783</v>
      </c>
      <c r="F112" s="37">
        <f>Data_Scores!U112*0.33</f>
        <v>0.188203125</v>
      </c>
      <c r="G112" s="37">
        <f>Data_Scores!P112*0.33*0.33</f>
        <v>0.09013166333</v>
      </c>
      <c r="H112" s="37">
        <f>Data_Scores!Q112*0.33*0.33</f>
        <v>0.0693</v>
      </c>
      <c r="I112" s="37">
        <f>(Data_Scores!R112+Data_Scores!S112+Data_Scores!T112)*0.33*0.33*0.33</f>
        <v>0.0396169385</v>
      </c>
      <c r="J112" s="38">
        <f t="shared" si="1"/>
        <v>0.1990486018</v>
      </c>
      <c r="K112" s="32">
        <f t="shared" si="2"/>
        <v>0.7074054052</v>
      </c>
      <c r="L112" s="33">
        <f>(K112+K113+K114+K115+K116)*0.2</f>
        <v>0.6846966856</v>
      </c>
    </row>
    <row r="113" ht="15.0" customHeight="1">
      <c r="A113" s="23" t="s">
        <v>26</v>
      </c>
      <c r="B113" s="23" t="s">
        <v>216</v>
      </c>
      <c r="C113" s="22" t="s">
        <v>120</v>
      </c>
      <c r="D113" s="23" t="s">
        <v>237</v>
      </c>
      <c r="E113" s="37">
        <f>Data_Scores!V113*0.33</f>
        <v>0.3181701729</v>
      </c>
      <c r="F113" s="37">
        <f>Data_Scores!U113*0.33</f>
        <v>0.1563157895</v>
      </c>
      <c r="G113" s="37">
        <f>Data_Scores!P113*0.33*0.33</f>
        <v>0.08944558522</v>
      </c>
      <c r="H113" s="37">
        <f>Data_Scores!Q113*0.33*0.33</f>
        <v>0.0789481717</v>
      </c>
      <c r="I113" s="37">
        <f>(Data_Scores!R113+Data_Scores!S113+Data_Scores!T113)*0.33*0.33*0.33</f>
        <v>0.05196136721</v>
      </c>
      <c r="J113" s="38">
        <f t="shared" si="1"/>
        <v>0.2203551241</v>
      </c>
      <c r="K113" s="32">
        <f t="shared" si="2"/>
        <v>0.6948410866</v>
      </c>
      <c r="L113" s="34"/>
    </row>
    <row r="114" ht="15.0" customHeight="1">
      <c r="A114" s="23" t="s">
        <v>29</v>
      </c>
      <c r="B114" s="23" t="s">
        <v>216</v>
      </c>
      <c r="C114" s="22" t="s">
        <v>120</v>
      </c>
      <c r="D114" s="23" t="s">
        <v>239</v>
      </c>
      <c r="E114" s="37">
        <f>Data_Scores!V114*0.33</f>
        <v>0.3275590075</v>
      </c>
      <c r="F114" s="37">
        <f>Data_Scores!U114*0.33</f>
        <v>0.195</v>
      </c>
      <c r="G114" s="37">
        <f>Data_Scores!P114*0.33*0.33</f>
        <v>0.09039870968</v>
      </c>
      <c r="H114" s="37">
        <f>Data_Scores!Q114*0.33*0.33</f>
        <v>0.08687296786</v>
      </c>
      <c r="I114" s="37">
        <f>(Data_Scores!R114+Data_Scores!S114+Data_Scores!T114)*0.33*0.33*0.33</f>
        <v>0.03157723183</v>
      </c>
      <c r="J114" s="38">
        <f t="shared" si="1"/>
        <v>0.2088489094</v>
      </c>
      <c r="K114" s="32">
        <f t="shared" si="2"/>
        <v>0.7314079168</v>
      </c>
      <c r="L114" s="34"/>
    </row>
    <row r="115" ht="15.0" customHeight="1">
      <c r="A115" s="23" t="s">
        <v>32</v>
      </c>
      <c r="B115" s="23" t="s">
        <v>216</v>
      </c>
      <c r="C115" s="22" t="s">
        <v>120</v>
      </c>
      <c r="D115" s="23" t="s">
        <v>241</v>
      </c>
      <c r="E115" s="37">
        <f>Data_Scores!V115*0.33</f>
        <v>0.3262640675</v>
      </c>
      <c r="F115" s="37">
        <f>Data_Scores!U115*0.33</f>
        <v>0.1344444444</v>
      </c>
      <c r="G115" s="37">
        <f>Data_Scores!P115*0.33*0.33</f>
        <v>0.09347843137</v>
      </c>
      <c r="H115" s="37">
        <f>Data_Scores!Q115*0.33*0.33</f>
        <v>0.03555462012</v>
      </c>
      <c r="I115" s="37">
        <f>(Data_Scores!R115+Data_Scores!S115+Data_Scores!T115)*0.33*0.33*0.33</f>
        <v>0.0337558526</v>
      </c>
      <c r="J115" s="38">
        <f t="shared" si="1"/>
        <v>0.1627889041</v>
      </c>
      <c r="K115" s="32">
        <f t="shared" si="2"/>
        <v>0.6234974161</v>
      </c>
      <c r="L115" s="34"/>
    </row>
    <row r="116" ht="15.0" customHeight="1">
      <c r="A116" s="23" t="s">
        <v>35</v>
      </c>
      <c r="B116" s="23" t="s">
        <v>216</v>
      </c>
      <c r="C116" s="22" t="s">
        <v>120</v>
      </c>
      <c r="D116" s="23" t="s">
        <v>243</v>
      </c>
      <c r="E116" s="37">
        <f>Data_Scores!V116*0.33</f>
        <v>0.3281450749</v>
      </c>
      <c r="F116" s="37">
        <f>Data_Scores!U116*0.33</f>
        <v>0.1414285714</v>
      </c>
      <c r="G116" s="37">
        <f>Data_Scores!P116*0.33*0.33</f>
        <v>0.0995512761</v>
      </c>
      <c r="H116" s="37">
        <f>Data_Scores!Q116*0.33*0.33</f>
        <v>0.06997590361</v>
      </c>
      <c r="I116" s="37">
        <f>(Data_Scores!R116+Data_Scores!S116+Data_Scores!T116)*0.33*0.33*0.33</f>
        <v>0.02723077719</v>
      </c>
      <c r="J116" s="38">
        <f t="shared" si="1"/>
        <v>0.1967579569</v>
      </c>
      <c r="K116" s="32">
        <f t="shared" si="2"/>
        <v>0.6663316033</v>
      </c>
      <c r="L116" s="34"/>
    </row>
    <row r="117" ht="15.0" customHeight="1">
      <c r="A117" s="23" t="s">
        <v>22</v>
      </c>
      <c r="B117" s="23" t="s">
        <v>216</v>
      </c>
      <c r="C117" s="22" t="s">
        <v>238</v>
      </c>
      <c r="D117" s="23" t="s">
        <v>238</v>
      </c>
      <c r="E117" s="37">
        <f>Data_Scores!V117*0.33</f>
        <v>0.3178085289</v>
      </c>
      <c r="F117" s="37">
        <f>Data_Scores!U117*0.33</f>
        <v>0.110859375</v>
      </c>
      <c r="G117" s="37">
        <f>Data_Scores!P117*0.33*0.33</f>
        <v>0.09187755511</v>
      </c>
      <c r="H117" s="37">
        <f>Data_Scores!Q117*0.33*0.33</f>
        <v>0.04393972603</v>
      </c>
      <c r="I117" s="37">
        <f>(Data_Scores!R117+Data_Scores!S117+Data_Scores!T117)*0.33*0.33*0.33</f>
        <v>0.03720226042</v>
      </c>
      <c r="J117" s="38">
        <f t="shared" si="1"/>
        <v>0.1730195416</v>
      </c>
      <c r="K117" s="32">
        <f t="shared" si="2"/>
        <v>0.6016874455</v>
      </c>
      <c r="L117" s="33">
        <f>(K117+K118+K119+K120+K121)*0.2</f>
        <v>0.6476346006</v>
      </c>
    </row>
    <row r="118" ht="15.0" customHeight="1">
      <c r="A118" s="23" t="s">
        <v>26</v>
      </c>
      <c r="B118" s="23" t="s">
        <v>216</v>
      </c>
      <c r="C118" s="22" t="s">
        <v>238</v>
      </c>
      <c r="D118" s="23" t="s">
        <v>246</v>
      </c>
      <c r="E118" s="37">
        <f>Data_Scores!V118*0.33</f>
        <v>0.3235359932</v>
      </c>
      <c r="F118" s="37">
        <f>Data_Scores!U118*0.33</f>
        <v>0.1042105263</v>
      </c>
      <c r="G118" s="37">
        <f>Data_Scores!P118*0.33*0.33</f>
        <v>0.09212895277</v>
      </c>
      <c r="H118" s="37">
        <f>Data_Scores!Q118*0.33*0.33</f>
        <v>0.05245898251</v>
      </c>
      <c r="I118" s="37">
        <f>(Data_Scores!R118+Data_Scores!S118+Data_Scores!T118)*0.33*0.33*0.33</f>
        <v>0.04452358648</v>
      </c>
      <c r="J118" s="38">
        <f t="shared" si="1"/>
        <v>0.1891115218</v>
      </c>
      <c r="K118" s="32">
        <f t="shared" si="2"/>
        <v>0.6168580413</v>
      </c>
      <c r="L118" s="34"/>
    </row>
    <row r="119" ht="15.0" customHeight="1">
      <c r="A119" s="23" t="s">
        <v>29</v>
      </c>
      <c r="B119" s="23" t="s">
        <v>216</v>
      </c>
      <c r="C119" s="22" t="s">
        <v>238</v>
      </c>
      <c r="D119" s="23" t="s">
        <v>248</v>
      </c>
      <c r="E119" s="37">
        <f>Data_Scores!V119*0.33</f>
        <v>0.3188642686</v>
      </c>
      <c r="F119" s="37">
        <f>Data_Scores!U119*0.33</f>
        <v>0.155</v>
      </c>
      <c r="G119" s="37">
        <f>Data_Scores!P119*0.33*0.33</f>
        <v>0.09578516129</v>
      </c>
      <c r="H119" s="37">
        <f>Data_Scores!Q119*0.33*0.33</f>
        <v>0.06114045369</v>
      </c>
      <c r="I119" s="37">
        <f>(Data_Scores!R119+Data_Scores!S119+Data_Scores!T119)*0.33*0.33*0.33</f>
        <v>0.04541469135</v>
      </c>
      <c r="J119" s="38">
        <f t="shared" si="1"/>
        <v>0.2023403063</v>
      </c>
      <c r="K119" s="32">
        <f t="shared" si="2"/>
        <v>0.676204575</v>
      </c>
      <c r="L119" s="34"/>
    </row>
    <row r="120" ht="15.0" customHeight="1">
      <c r="A120" s="23" t="s">
        <v>32</v>
      </c>
      <c r="B120" s="23" t="s">
        <v>216</v>
      </c>
      <c r="C120" s="22" t="s">
        <v>238</v>
      </c>
      <c r="D120" s="23" t="s">
        <v>250</v>
      </c>
      <c r="E120" s="37">
        <f>Data_Scores!V120*0.33</f>
        <v>0.3229647558</v>
      </c>
      <c r="F120" s="37">
        <f>Data_Scores!U120*0.33</f>
        <v>0.165</v>
      </c>
      <c r="G120" s="37">
        <f>Data_Scores!P120*0.33*0.33</f>
        <v>0.09585098039</v>
      </c>
      <c r="H120" s="37">
        <f>Data_Scores!Q120*0.33*0.33</f>
        <v>0.03298305955</v>
      </c>
      <c r="I120" s="37">
        <f>(Data_Scores!R120+Data_Scores!S120+Data_Scores!T120)*0.33*0.33*0.33</f>
        <v>0.03998770231</v>
      </c>
      <c r="J120" s="38">
        <f t="shared" si="1"/>
        <v>0.1688217423</v>
      </c>
      <c r="K120" s="32">
        <f t="shared" si="2"/>
        <v>0.6567864981</v>
      </c>
      <c r="L120" s="34"/>
    </row>
    <row r="121" ht="15.0" customHeight="1">
      <c r="A121" s="23" t="s">
        <v>35</v>
      </c>
      <c r="B121" s="23" t="s">
        <v>216</v>
      </c>
      <c r="C121" s="22" t="s">
        <v>238</v>
      </c>
      <c r="D121" s="23" t="s">
        <v>252</v>
      </c>
      <c r="E121" s="37">
        <f>Data_Scores!V121*0.33</f>
        <v>0.3262240553</v>
      </c>
      <c r="F121" s="37">
        <f>Data_Scores!U121*0.33</f>
        <v>0.1548979592</v>
      </c>
      <c r="G121" s="37">
        <f>Data_Scores!P121*0.33*0.33</f>
        <v>0.10182529</v>
      </c>
      <c r="H121" s="37">
        <f>Data_Scores!Q121*0.33*0.33</f>
        <v>0.05882349398</v>
      </c>
      <c r="I121" s="37">
        <f>(Data_Scores!R121+Data_Scores!S121+Data_Scores!T121)*0.33*0.33*0.33</f>
        <v>0.04486564456</v>
      </c>
      <c r="J121" s="38">
        <f t="shared" si="1"/>
        <v>0.2055144286</v>
      </c>
      <c r="K121" s="32">
        <f t="shared" si="2"/>
        <v>0.6866364431</v>
      </c>
      <c r="L121" s="34"/>
    </row>
    <row r="122" ht="15.0" customHeight="1">
      <c r="A122" s="23" t="s">
        <v>22</v>
      </c>
      <c r="B122" s="23" t="s">
        <v>216</v>
      </c>
      <c r="C122" s="22" t="s">
        <v>254</v>
      </c>
      <c r="D122" s="23" t="s">
        <v>254</v>
      </c>
      <c r="E122" s="37">
        <f>Data_Scores!V122*0.33</f>
        <v>0.3059970562</v>
      </c>
      <c r="F122" s="37">
        <f>Data_Scores!U122*0.33</f>
        <v>0.172734375</v>
      </c>
      <c r="G122" s="37">
        <f>Data_Scores!P122*0.33*0.33</f>
        <v>0.1021346693</v>
      </c>
      <c r="H122" s="37">
        <f>Data_Scores!Q122*0.33*0.33</f>
        <v>0.05451780822</v>
      </c>
      <c r="I122" s="37">
        <f>(Data_Scores!R122+Data_Scores!S122+Data_Scores!T122)*0.33*0.33*0.33</f>
        <v>0.04854712855</v>
      </c>
      <c r="J122" s="38">
        <f t="shared" si="1"/>
        <v>0.2051996061</v>
      </c>
      <c r="K122" s="32">
        <f t="shared" si="2"/>
        <v>0.6839310373</v>
      </c>
      <c r="L122" s="33">
        <f>(K122+K123+K124+K125+K126)*0.2</f>
        <v>0.6639363858</v>
      </c>
    </row>
    <row r="123" ht="15.0" customHeight="1">
      <c r="A123" s="23" t="s">
        <v>26</v>
      </c>
      <c r="B123" s="23" t="s">
        <v>216</v>
      </c>
      <c r="C123" s="22" t="s">
        <v>254</v>
      </c>
      <c r="D123" s="23" t="s">
        <v>256</v>
      </c>
      <c r="E123" s="37">
        <f>Data_Scores!V123*0.33</f>
        <v>0.3173407782</v>
      </c>
      <c r="F123" s="37">
        <f>Data_Scores!U123*0.33</f>
        <v>0.08973684211</v>
      </c>
      <c r="G123" s="37">
        <f>Data_Scores!P123*0.33*0.33</f>
        <v>0.09302340862</v>
      </c>
      <c r="H123" s="37">
        <f>Data_Scores!Q123*0.33*0.33</f>
        <v>0.05176645469</v>
      </c>
      <c r="I123" s="37">
        <f>(Data_Scores!R123+Data_Scores!S123+Data_Scores!T123)*0.33*0.33*0.33</f>
        <v>0.03712999057</v>
      </c>
      <c r="J123" s="38">
        <f t="shared" si="1"/>
        <v>0.1819198539</v>
      </c>
      <c r="K123" s="32">
        <f t="shared" si="2"/>
        <v>0.5889974742</v>
      </c>
      <c r="L123" s="34"/>
    </row>
    <row r="124" ht="15.0" customHeight="1">
      <c r="A124" s="23" t="s">
        <v>29</v>
      </c>
      <c r="B124" s="23" t="s">
        <v>216</v>
      </c>
      <c r="C124" s="22" t="s">
        <v>254</v>
      </c>
      <c r="D124" s="23" t="s">
        <v>258</v>
      </c>
      <c r="E124" s="37">
        <f>Data_Scores!V124*0.33</f>
        <v>0.3151712982</v>
      </c>
      <c r="F124" s="37">
        <f>Data_Scores!U124*0.33</f>
        <v>0.16</v>
      </c>
      <c r="G124" s="37">
        <f>Data_Scores!P124*0.33*0.33</f>
        <v>0.09836129032</v>
      </c>
      <c r="H124" s="37">
        <f>Data_Scores!Q124*0.33*0.33</f>
        <v>0.07410964083</v>
      </c>
      <c r="I124" s="37">
        <f>(Data_Scores!R124+Data_Scores!S124+Data_Scores!T124)*0.33*0.33*0.33</f>
        <v>0.05804709135</v>
      </c>
      <c r="J124" s="38">
        <f t="shared" si="1"/>
        <v>0.2305180225</v>
      </c>
      <c r="K124" s="32">
        <f t="shared" si="2"/>
        <v>0.7056893207</v>
      </c>
      <c r="L124" s="34"/>
    </row>
    <row r="125" ht="15.0" customHeight="1">
      <c r="A125" s="23" t="s">
        <v>32</v>
      </c>
      <c r="B125" s="23" t="s">
        <v>216</v>
      </c>
      <c r="C125" s="22" t="s">
        <v>254</v>
      </c>
      <c r="D125" s="23" t="s">
        <v>260</v>
      </c>
      <c r="E125" s="37">
        <f>Data_Scores!V125*0.33</f>
        <v>0.3172634596</v>
      </c>
      <c r="F125" s="37">
        <f>Data_Scores!U125*0.33</f>
        <v>0.1588888889</v>
      </c>
      <c r="G125" s="37">
        <f>Data_Scores!P125*0.33*0.33</f>
        <v>0.0972745098</v>
      </c>
      <c r="H125" s="37">
        <f>Data_Scores!Q125*0.33*0.33</f>
        <v>0.03790256674</v>
      </c>
      <c r="I125" s="37">
        <f>(Data_Scores!R125+Data_Scores!S125+Data_Scores!T125)*0.33*0.33*0.33</f>
        <v>0.04642728035</v>
      </c>
      <c r="J125" s="38">
        <f t="shared" si="1"/>
        <v>0.1816043569</v>
      </c>
      <c r="K125" s="32">
        <f t="shared" si="2"/>
        <v>0.6577567054</v>
      </c>
      <c r="L125" s="34"/>
    </row>
    <row r="126" ht="15.0" customHeight="1">
      <c r="A126" s="23" t="s">
        <v>35</v>
      </c>
      <c r="B126" s="23" t="s">
        <v>216</v>
      </c>
      <c r="C126" s="22" t="s">
        <v>254</v>
      </c>
      <c r="D126" s="23" t="s">
        <v>262</v>
      </c>
      <c r="E126" s="37">
        <f>Data_Scores!V126*0.33</f>
        <v>0.3242181818</v>
      </c>
      <c r="F126" s="37">
        <f>Data_Scores!U126*0.33</f>
        <v>0.1346938776</v>
      </c>
      <c r="G126" s="37">
        <f>Data_Scores!P126*0.33*0.33</f>
        <v>0.1010672854</v>
      </c>
      <c r="H126" s="37">
        <f>Data_Scores!Q126*0.33*0.33</f>
        <v>0.0726</v>
      </c>
      <c r="I126" s="37">
        <f>(Data_Scores!R126+Data_Scores!S126+Data_Scores!T126)*0.33*0.33*0.33</f>
        <v>0.05072804642</v>
      </c>
      <c r="J126" s="38">
        <f t="shared" si="1"/>
        <v>0.2243953318</v>
      </c>
      <c r="K126" s="32">
        <f t="shared" si="2"/>
        <v>0.6833073912</v>
      </c>
      <c r="L126" s="34"/>
    </row>
    <row r="127" ht="15.0" customHeight="1">
      <c r="A127" s="23" t="s">
        <v>22</v>
      </c>
      <c r="B127" s="23" t="s">
        <v>216</v>
      </c>
      <c r="C127" s="22" t="s">
        <v>247</v>
      </c>
      <c r="D127" s="23" t="s">
        <v>247</v>
      </c>
      <c r="E127" s="37">
        <f>Data_Scores!V127*0.33</f>
        <v>0.3114795393</v>
      </c>
      <c r="F127" s="37">
        <f>Data_Scores!U127*0.33</f>
        <v>0.100546875</v>
      </c>
      <c r="G127" s="37">
        <f>Data_Scores!P127*0.33*0.33</f>
        <v>0.09820641283</v>
      </c>
      <c r="H127" s="37">
        <f>Data_Scores!Q127*0.33*0.33</f>
        <v>0.04651643836</v>
      </c>
      <c r="I127" s="37">
        <f>(Data_Scores!R127+Data_Scores!S127+Data_Scores!T127)*0.33*0.33*0.33</f>
        <v>0.02805068198</v>
      </c>
      <c r="J127" s="38">
        <f t="shared" si="1"/>
        <v>0.1727735332</v>
      </c>
      <c r="K127" s="32">
        <f t="shared" si="2"/>
        <v>0.5847999474</v>
      </c>
      <c r="L127" s="33">
        <f>(K127+K128+K129+K130+K131)*0.2</f>
        <v>0.5838813054</v>
      </c>
    </row>
    <row r="128" ht="15.0" customHeight="1">
      <c r="A128" s="23" t="s">
        <v>26</v>
      </c>
      <c r="B128" s="23" t="s">
        <v>216</v>
      </c>
      <c r="C128" s="22" t="s">
        <v>247</v>
      </c>
      <c r="D128" s="23" t="s">
        <v>264</v>
      </c>
      <c r="E128" s="37">
        <f>Data_Scores!V128*0.33</f>
        <v>0.3141160168</v>
      </c>
      <c r="F128" s="37">
        <f>Data_Scores!U128*0.33</f>
        <v>0.055</v>
      </c>
      <c r="G128" s="37">
        <f>Data_Scores!P128*0.33*0.33</f>
        <v>0.0986137577</v>
      </c>
      <c r="H128" s="37">
        <f>Data_Scores!Q128*0.33*0.33</f>
        <v>0.09210620032</v>
      </c>
      <c r="I128" s="37">
        <f>(Data_Scores!R128+Data_Scores!S128+Data_Scores!T128)*0.33*0.33*0.33</f>
        <v>0.03543623852</v>
      </c>
      <c r="J128" s="38">
        <f t="shared" si="1"/>
        <v>0.2261561965</v>
      </c>
      <c r="K128" s="32">
        <f t="shared" si="2"/>
        <v>0.5952722134</v>
      </c>
      <c r="L128" s="34"/>
    </row>
    <row r="129" ht="15.0" customHeight="1">
      <c r="A129" s="23" t="s">
        <v>29</v>
      </c>
      <c r="B129" s="23" t="s">
        <v>216</v>
      </c>
      <c r="C129" s="22" t="s">
        <v>247</v>
      </c>
      <c r="D129" s="23" t="s">
        <v>266</v>
      </c>
      <c r="E129" s="37">
        <f>Data_Scores!V129*0.33</f>
        <v>0.3237061404</v>
      </c>
      <c r="F129" s="37">
        <f>Data_Scores!U129*0.33</f>
        <v>0.085</v>
      </c>
      <c r="G129" s="37">
        <f>Data_Scores!P129*0.33*0.33</f>
        <v>0.09601935484</v>
      </c>
      <c r="H129" s="37">
        <f>Data_Scores!Q129*0.33*0.33</f>
        <v>0.04940642722</v>
      </c>
      <c r="I129" s="37">
        <f>(Data_Scores!R129+Data_Scores!S129+Data_Scores!T129)*0.33*0.33*0.33</f>
        <v>0.03757464498</v>
      </c>
      <c r="J129" s="38">
        <f t="shared" si="1"/>
        <v>0.183000427</v>
      </c>
      <c r="K129" s="32">
        <f t="shared" si="2"/>
        <v>0.5917065674</v>
      </c>
      <c r="L129" s="34"/>
    </row>
    <row r="130" ht="15.0" customHeight="1">
      <c r="A130" s="23" t="s">
        <v>32</v>
      </c>
      <c r="B130" s="23" t="s">
        <v>216</v>
      </c>
      <c r="C130" s="22" t="s">
        <v>247</v>
      </c>
      <c r="D130" s="23" t="s">
        <v>268</v>
      </c>
      <c r="E130" s="37">
        <f>Data_Scores!V130*0.33</f>
        <v>0.3181338385</v>
      </c>
      <c r="F130" s="37">
        <f>Data_Scores!U130*0.33</f>
        <v>0.07944444444</v>
      </c>
      <c r="G130" s="37">
        <f>Data_Scores!P130*0.33*0.33</f>
        <v>0.09513921569</v>
      </c>
      <c r="H130" s="37">
        <f>Data_Scores!Q130*0.33*0.33</f>
        <v>0.0411449692</v>
      </c>
      <c r="I130" s="37">
        <f>(Data_Scores!R130+Data_Scores!S130+Data_Scores!T130)*0.33*0.33*0.33</f>
        <v>0.03162663728</v>
      </c>
      <c r="J130" s="38">
        <f t="shared" si="1"/>
        <v>0.1679108222</v>
      </c>
      <c r="K130" s="32">
        <f t="shared" si="2"/>
        <v>0.5654891051</v>
      </c>
      <c r="L130" s="34"/>
    </row>
    <row r="131" ht="15.0" customHeight="1">
      <c r="A131" s="23" t="s">
        <v>35</v>
      </c>
      <c r="B131" s="23" t="s">
        <v>216</v>
      </c>
      <c r="C131" s="22" t="s">
        <v>247</v>
      </c>
      <c r="D131" s="23" t="s">
        <v>270</v>
      </c>
      <c r="E131" s="37">
        <f>Data_Scores!V131*0.33</f>
        <v>0.3215079495</v>
      </c>
      <c r="F131" s="37">
        <f>Data_Scores!U131*0.33</f>
        <v>0.06734693878</v>
      </c>
      <c r="G131" s="37">
        <f>Data_Scores!P131*0.33*0.33</f>
        <v>0.1003092807</v>
      </c>
      <c r="H131" s="37">
        <f>Data_Scores!Q131*0.33*0.33</f>
        <v>0.06013554217</v>
      </c>
      <c r="I131" s="37">
        <f>(Data_Scores!R131+Data_Scores!S131+Data_Scores!T131)*0.33*0.33*0.33</f>
        <v>0.03283898276</v>
      </c>
      <c r="J131" s="38">
        <f t="shared" si="1"/>
        <v>0.1932838057</v>
      </c>
      <c r="K131" s="32">
        <f t="shared" si="2"/>
        <v>0.582138694</v>
      </c>
      <c r="L131" s="34"/>
    </row>
    <row r="132" ht="15.0" customHeight="1">
      <c r="A132" s="23" t="s">
        <v>22</v>
      </c>
      <c r="B132" s="23" t="s">
        <v>216</v>
      </c>
      <c r="C132" s="22" t="s">
        <v>257</v>
      </c>
      <c r="D132" s="23" t="s">
        <v>257</v>
      </c>
      <c r="E132" s="37">
        <f>Data_Scores!V132*0.33</f>
        <v>0.3188035526</v>
      </c>
      <c r="F132" s="37">
        <f>Data_Scores!U132*0.33</f>
        <v>0.15984375</v>
      </c>
      <c r="G132" s="37">
        <f>Data_Scores!P132*0.33*0.33</f>
        <v>0.09078637275</v>
      </c>
      <c r="H132" s="37">
        <f>Data_Scores!Q132*0.33*0.33</f>
        <v>0.0576369863</v>
      </c>
      <c r="I132" s="37">
        <f>(Data_Scores!R132+Data_Scores!S132+Data_Scores!T132)*0.33*0.33*0.33</f>
        <v>0.04180636676</v>
      </c>
      <c r="J132" s="38">
        <f t="shared" si="1"/>
        <v>0.1902297258</v>
      </c>
      <c r="K132" s="32">
        <f t="shared" si="2"/>
        <v>0.6688770284</v>
      </c>
      <c r="L132" s="33">
        <f>(K132+K133+K134+K135+K136)*0.2</f>
        <v>0.6803915644</v>
      </c>
    </row>
    <row r="133" ht="15.0" customHeight="1">
      <c r="A133" s="23" t="s">
        <v>26</v>
      </c>
      <c r="B133" s="23" t="s">
        <v>216</v>
      </c>
      <c r="C133" s="22" t="s">
        <v>257</v>
      </c>
      <c r="D133" s="23" t="s">
        <v>272</v>
      </c>
      <c r="E133" s="37">
        <f>Data_Scores!V133*0.33</f>
        <v>0.33</v>
      </c>
      <c r="F133" s="37">
        <f>Data_Scores!U133*0.33</f>
        <v>0.1071052632</v>
      </c>
      <c r="G133" s="37">
        <f>Data_Scores!P133*0.33*0.33</f>
        <v>0.08966919918</v>
      </c>
      <c r="H133" s="37">
        <f>Data_Scores!Q133*0.33*0.33</f>
        <v>0.05903799682</v>
      </c>
      <c r="I133" s="37">
        <f>(Data_Scores!R133+Data_Scores!S133+Data_Scores!T133)*0.33*0.33*0.33</f>
        <v>0.03155288238</v>
      </c>
      <c r="J133" s="38">
        <f t="shared" si="1"/>
        <v>0.1802600784</v>
      </c>
      <c r="K133" s="32">
        <f t="shared" si="2"/>
        <v>0.6173653415</v>
      </c>
      <c r="L133" s="34"/>
    </row>
    <row r="134" ht="15.0" customHeight="1">
      <c r="A134" s="23" t="s">
        <v>29</v>
      </c>
      <c r="B134" s="23" t="s">
        <v>216</v>
      </c>
      <c r="C134" s="22" t="s">
        <v>257</v>
      </c>
      <c r="D134" s="23" t="s">
        <v>274</v>
      </c>
      <c r="E134" s="37">
        <f>Data_Scores!V134*0.33</f>
        <v>0.3255341331</v>
      </c>
      <c r="F134" s="37">
        <f>Data_Scores!U134*0.33</f>
        <v>0.195</v>
      </c>
      <c r="G134" s="37">
        <f>Data_Scores!P134*0.33*0.33</f>
        <v>0.09250645161</v>
      </c>
      <c r="H134" s="37">
        <f>Data_Scores!Q134*0.33*0.33</f>
        <v>0.07472722117</v>
      </c>
      <c r="I134" s="37">
        <f>(Data_Scores!R134+Data_Scores!S134+Data_Scores!T134)*0.33*0.33*0.33</f>
        <v>0.04155533564</v>
      </c>
      <c r="J134" s="38">
        <f t="shared" si="1"/>
        <v>0.2087890084</v>
      </c>
      <c r="K134" s="32">
        <f t="shared" si="2"/>
        <v>0.7293231415</v>
      </c>
      <c r="L134" s="34"/>
    </row>
    <row r="135" ht="15.0" customHeight="1">
      <c r="A135" s="23" t="s">
        <v>32</v>
      </c>
      <c r="B135" s="23" t="s">
        <v>216</v>
      </c>
      <c r="C135" s="22" t="s">
        <v>257</v>
      </c>
      <c r="D135" s="23" t="s">
        <v>275</v>
      </c>
      <c r="E135" s="37">
        <f>Data_Scores!V135*0.33</f>
        <v>0.3228363106</v>
      </c>
      <c r="F135" s="37">
        <f>Data_Scores!U135*0.33</f>
        <v>0.1588888889</v>
      </c>
      <c r="G135" s="37">
        <f>Data_Scores!P135*0.33*0.33</f>
        <v>0.09276666667</v>
      </c>
      <c r="H135" s="37">
        <f>Data_Scores!Q135*0.33*0.33</f>
        <v>0.03879702259</v>
      </c>
      <c r="I135" s="37">
        <f>(Data_Scores!R135+Data_Scores!S135+Data_Scores!T135)*0.33*0.33*0.33</f>
        <v>0.05785233815</v>
      </c>
      <c r="J135" s="38">
        <f t="shared" si="1"/>
        <v>0.1894160274</v>
      </c>
      <c r="K135" s="32">
        <f t="shared" si="2"/>
        <v>0.6711412269</v>
      </c>
      <c r="L135" s="34"/>
    </row>
    <row r="136" ht="15.0" customHeight="1">
      <c r="A136" s="23" t="s">
        <v>35</v>
      </c>
      <c r="B136" s="23" t="s">
        <v>216</v>
      </c>
      <c r="C136" s="22" t="s">
        <v>257</v>
      </c>
      <c r="D136" s="23" t="s">
        <v>277</v>
      </c>
      <c r="E136" s="37">
        <f>Data_Scores!V136*0.33</f>
        <v>0.3252072419</v>
      </c>
      <c r="F136" s="37">
        <f>Data_Scores!U136*0.33</f>
        <v>0.1751020408</v>
      </c>
      <c r="G136" s="37">
        <f>Data_Scores!P136*0.33*0.33</f>
        <v>0.09854060325</v>
      </c>
      <c r="H136" s="37">
        <f>Data_Scores!Q136*0.33*0.33</f>
        <v>0.0726</v>
      </c>
      <c r="I136" s="37">
        <f>(Data_Scores!R136+Data_Scores!S136+Data_Scores!T136)*0.33*0.33*0.33</f>
        <v>0.04380119761</v>
      </c>
      <c r="J136" s="38">
        <f t="shared" si="1"/>
        <v>0.2149418009</v>
      </c>
      <c r="K136" s="32">
        <f t="shared" si="2"/>
        <v>0.7152510835</v>
      </c>
      <c r="L136" s="34"/>
    </row>
    <row r="137" ht="15.0" customHeight="1">
      <c r="A137" s="23" t="s">
        <v>22</v>
      </c>
      <c r="B137" s="23" t="s">
        <v>216</v>
      </c>
      <c r="C137" s="22" t="s">
        <v>61</v>
      </c>
      <c r="D137" s="23" t="s">
        <v>61</v>
      </c>
      <c r="E137" s="37">
        <f>Data_Scores!V137*0.33</f>
        <v>0.3211738011</v>
      </c>
      <c r="F137" s="37">
        <f>Data_Scores!U137*0.33</f>
        <v>0.18046875</v>
      </c>
      <c r="G137" s="37">
        <f>Data_Scores!P137*0.33*0.33</f>
        <v>0.09056813627</v>
      </c>
      <c r="H137" s="37">
        <f>Data_Scores!Q137*0.33*0.33</f>
        <v>0.05817945205</v>
      </c>
      <c r="I137" s="37">
        <f>(Data_Scores!R137+Data_Scores!S137+Data_Scores!T137)*0.33*0.33*0.33</f>
        <v>0.04286439735</v>
      </c>
      <c r="J137" s="38">
        <f t="shared" si="1"/>
        <v>0.1916119857</v>
      </c>
      <c r="K137" s="32">
        <f t="shared" si="2"/>
        <v>0.6932545368</v>
      </c>
      <c r="L137" s="33">
        <f>(K137+K138+K139+K140+K141)*0.2</f>
        <v>0.7396475011</v>
      </c>
    </row>
    <row r="138" ht="15.0" customHeight="1">
      <c r="A138" s="23" t="s">
        <v>26</v>
      </c>
      <c r="B138" s="23" t="s">
        <v>216</v>
      </c>
      <c r="C138" s="22" t="s">
        <v>61</v>
      </c>
      <c r="D138" s="23" t="s">
        <v>280</v>
      </c>
      <c r="E138" s="37">
        <f>Data_Scores!V138*0.33</f>
        <v>0.3170143064</v>
      </c>
      <c r="F138" s="37">
        <f>Data_Scores!U138*0.33</f>
        <v>0.2171052632</v>
      </c>
      <c r="G138" s="37">
        <f>Data_Scores!P138*0.33*0.33</f>
        <v>0.09235256674</v>
      </c>
      <c r="H138" s="37">
        <f>Data_Scores!Q138*0.33*0.33</f>
        <v>0.07808251192</v>
      </c>
      <c r="I138" s="37">
        <f>(Data_Scores!R138+Data_Scores!S138+Data_Scores!T138)*0.33*0.33*0.33</f>
        <v>0.06136782787</v>
      </c>
      <c r="J138" s="38">
        <f t="shared" si="1"/>
        <v>0.2318029065</v>
      </c>
      <c r="K138" s="32">
        <f t="shared" si="2"/>
        <v>0.7659224761</v>
      </c>
      <c r="L138" s="34"/>
    </row>
    <row r="139" ht="15.0" customHeight="1">
      <c r="A139" s="23" t="s">
        <v>29</v>
      </c>
      <c r="B139" s="23" t="s">
        <v>216</v>
      </c>
      <c r="C139" s="22" t="s">
        <v>61</v>
      </c>
      <c r="D139" s="23" t="s">
        <v>282</v>
      </c>
      <c r="E139" s="37">
        <f>Data_Scores!V139*0.33</f>
        <v>0.3266255406</v>
      </c>
      <c r="F139" s="37">
        <f>Data_Scores!U139*0.33</f>
        <v>0.27</v>
      </c>
      <c r="G139" s="37">
        <f>Data_Scores!P139*0.33*0.33</f>
        <v>0.09578516129</v>
      </c>
      <c r="H139" s="37">
        <f>Data_Scores!Q139*0.33*0.33</f>
        <v>0.08625538752</v>
      </c>
      <c r="I139" s="37">
        <f>(Data_Scores!R139+Data_Scores!S139+Data_Scores!T139)*0.33*0.33*0.33</f>
        <v>0.05764088304</v>
      </c>
      <c r="J139" s="38">
        <f t="shared" si="1"/>
        <v>0.2396814319</v>
      </c>
      <c r="K139" s="32">
        <f t="shared" si="2"/>
        <v>0.8363069725</v>
      </c>
      <c r="L139" s="34"/>
    </row>
    <row r="140" ht="15.0" customHeight="1">
      <c r="A140" s="23" t="s">
        <v>32</v>
      </c>
      <c r="B140" s="23" t="s">
        <v>216</v>
      </c>
      <c r="C140" s="22" t="s">
        <v>61</v>
      </c>
      <c r="D140" s="23" t="s">
        <v>284</v>
      </c>
      <c r="E140" s="37">
        <f>Data_Scores!V140*0.33</f>
        <v>0.323974457</v>
      </c>
      <c r="F140" s="37">
        <f>Data_Scores!U140*0.33</f>
        <v>0.2077777778</v>
      </c>
      <c r="G140" s="37">
        <f>Data_Scores!P140*0.33*0.33</f>
        <v>0.09371568627</v>
      </c>
      <c r="H140" s="37">
        <f>Data_Scores!Q140*0.33*0.33</f>
        <v>0.03879702259</v>
      </c>
      <c r="I140" s="37">
        <f>(Data_Scores!R140+Data_Scores!S140+Data_Scores!T140)*0.33*0.33*0.33</f>
        <v>0.0356773396</v>
      </c>
      <c r="J140" s="38">
        <f t="shared" si="1"/>
        <v>0.1681900485</v>
      </c>
      <c r="K140" s="32">
        <f t="shared" si="2"/>
        <v>0.6999422833</v>
      </c>
      <c r="L140" s="34"/>
    </row>
    <row r="141" ht="15.0" customHeight="1">
      <c r="A141" s="23" t="s">
        <v>35</v>
      </c>
      <c r="B141" s="23" t="s">
        <v>216</v>
      </c>
      <c r="C141" s="22" t="s">
        <v>61</v>
      </c>
      <c r="D141" s="23" t="s">
        <v>286</v>
      </c>
      <c r="E141" s="37">
        <f>Data_Scores!V141*0.33</f>
        <v>0.3251102198</v>
      </c>
      <c r="F141" s="37">
        <f>Data_Scores!U141*0.33</f>
        <v>0.1616326531</v>
      </c>
      <c r="G141" s="37">
        <f>Data_Scores!P141*0.33*0.33</f>
        <v>0.100561949</v>
      </c>
      <c r="H141" s="37">
        <f>Data_Scores!Q141*0.33*0.33</f>
        <v>0.07150662651</v>
      </c>
      <c r="I141" s="37">
        <f>(Data_Scores!R141+Data_Scores!S141+Data_Scores!T141)*0.33*0.33*0.33</f>
        <v>0.04399978846</v>
      </c>
      <c r="J141" s="38">
        <f t="shared" si="1"/>
        <v>0.2160683639</v>
      </c>
      <c r="K141" s="32">
        <f t="shared" si="2"/>
        <v>0.7028112368</v>
      </c>
      <c r="L141" s="34"/>
    </row>
    <row r="142" ht="15.0" customHeight="1">
      <c r="A142" s="23" t="s">
        <v>22</v>
      </c>
      <c r="B142" s="23" t="s">
        <v>216</v>
      </c>
      <c r="C142" s="22" t="s">
        <v>70</v>
      </c>
      <c r="D142" s="23" t="s">
        <v>70</v>
      </c>
      <c r="E142" s="37">
        <f>Data_Scores!V142*0.33</f>
        <v>0.3115670663</v>
      </c>
      <c r="F142" s="37">
        <f>Data_Scores!U142*0.33</f>
        <v>0.183046875</v>
      </c>
      <c r="G142" s="37">
        <f>Data_Scores!P142*0.33*0.33</f>
        <v>0.09318697395</v>
      </c>
      <c r="H142" s="37">
        <f>Data_Scores!Q142*0.33*0.33</f>
        <v>0.05641643836</v>
      </c>
      <c r="I142" s="37">
        <f>(Data_Scores!R142+Data_Scores!S142+Data_Scores!T142)*0.33*0.33*0.33</f>
        <v>0.05141874198</v>
      </c>
      <c r="J142" s="38">
        <f t="shared" si="1"/>
        <v>0.2010221543</v>
      </c>
      <c r="K142" s="32">
        <f t="shared" si="2"/>
        <v>0.6956360956</v>
      </c>
      <c r="L142" s="33">
        <f>(K142+K143+K144+K145+K146)*0.2</f>
        <v>0.6693078704</v>
      </c>
    </row>
    <row r="143" ht="15.0" customHeight="1">
      <c r="A143" s="23" t="s">
        <v>26</v>
      </c>
      <c r="B143" s="23" t="s">
        <v>216</v>
      </c>
      <c r="C143" s="22" t="s">
        <v>70</v>
      </c>
      <c r="D143" s="23" t="s">
        <v>289</v>
      </c>
      <c r="E143" s="37">
        <f>Data_Scores!V143*0.33</f>
        <v>0.313158346</v>
      </c>
      <c r="F143" s="37">
        <f>Data_Scores!U143*0.33</f>
        <v>0.1186842105</v>
      </c>
      <c r="G143" s="37">
        <f>Data_Scores!P143*0.33*0.33</f>
        <v>0.09704845996</v>
      </c>
      <c r="H143" s="37">
        <f>Data_Scores!Q143*0.33*0.33</f>
        <v>0.05869173291</v>
      </c>
      <c r="I143" s="37">
        <f>(Data_Scores!R143+Data_Scores!S143+Data_Scores!T143)*0.33*0.33*0.33</f>
        <v>0.05757284139</v>
      </c>
      <c r="J143" s="38">
        <f t="shared" si="1"/>
        <v>0.2133130343</v>
      </c>
      <c r="K143" s="32">
        <f t="shared" si="2"/>
        <v>0.6451555908</v>
      </c>
      <c r="L143" s="34"/>
    </row>
    <row r="144" ht="15.0" customHeight="1">
      <c r="A144" s="23" t="s">
        <v>29</v>
      </c>
      <c r="B144" s="23" t="s">
        <v>216</v>
      </c>
      <c r="C144" s="22" t="s">
        <v>70</v>
      </c>
      <c r="D144" s="23" t="s">
        <v>291</v>
      </c>
      <c r="E144" s="37">
        <f>Data_Scores!V144*0.33</f>
        <v>0.3157126191</v>
      </c>
      <c r="F144" s="37">
        <f>Data_Scores!U144*0.33</f>
        <v>0.155</v>
      </c>
      <c r="G144" s="37">
        <f>Data_Scores!P144*0.33*0.33</f>
        <v>0.09648774194</v>
      </c>
      <c r="H144" s="37">
        <f>Data_Scores!Q144*0.33*0.33</f>
        <v>0.06690453686</v>
      </c>
      <c r="I144" s="37">
        <f>(Data_Scores!R144+Data_Scores!S144+Data_Scores!T144)*0.33*0.33*0.33</f>
        <v>0.03950243875</v>
      </c>
      <c r="J144" s="38">
        <f t="shared" si="1"/>
        <v>0.2028947176</v>
      </c>
      <c r="K144" s="32">
        <f t="shared" si="2"/>
        <v>0.6736073366</v>
      </c>
      <c r="L144" s="34"/>
    </row>
    <row r="145" ht="15.0" customHeight="1">
      <c r="A145" s="23" t="s">
        <v>32</v>
      </c>
      <c r="B145" s="23" t="s">
        <v>216</v>
      </c>
      <c r="C145" s="22" t="s">
        <v>70</v>
      </c>
      <c r="D145" s="23" t="s">
        <v>293</v>
      </c>
      <c r="E145" s="37">
        <f>Data_Scores!V145*0.33</f>
        <v>0.3215999208</v>
      </c>
      <c r="F145" s="37">
        <f>Data_Scores!U145*0.33</f>
        <v>0.1711111111</v>
      </c>
      <c r="G145" s="37">
        <f>Data_Scores!P145*0.33*0.33</f>
        <v>0.09347843137</v>
      </c>
      <c r="H145" s="37">
        <f>Data_Scores!Q145*0.33*0.33</f>
        <v>0.03365390144</v>
      </c>
      <c r="I145" s="37">
        <f>(Data_Scores!R145+Data_Scores!S145+Data_Scores!T145)*0.33*0.33*0.33</f>
        <v>0.0258621763</v>
      </c>
      <c r="J145" s="38">
        <f t="shared" si="1"/>
        <v>0.1529945091</v>
      </c>
      <c r="K145" s="32">
        <f t="shared" si="2"/>
        <v>0.645705541</v>
      </c>
      <c r="L145" s="34"/>
    </row>
    <row r="146" ht="15.0" customHeight="1">
      <c r="A146" s="23" t="s">
        <v>35</v>
      </c>
      <c r="B146" s="23" t="s">
        <v>216</v>
      </c>
      <c r="C146" s="22" t="s">
        <v>70</v>
      </c>
      <c r="D146" s="23" t="s">
        <v>295</v>
      </c>
      <c r="E146" s="37">
        <f>Data_Scores!V146*0.33</f>
        <v>0.3238541804</v>
      </c>
      <c r="F146" s="37">
        <f>Data_Scores!U146*0.33</f>
        <v>0.1548979592</v>
      </c>
      <c r="G146" s="37">
        <f>Data_Scores!P146*0.33*0.33</f>
        <v>0.1013199536</v>
      </c>
      <c r="H146" s="37">
        <f>Data_Scores!Q146*0.33*0.33</f>
        <v>0.06319698795</v>
      </c>
      <c r="I146" s="37">
        <f>(Data_Scores!R146+Data_Scores!S146+Data_Scores!T146)*0.33*0.33*0.33</f>
        <v>0.0431657069</v>
      </c>
      <c r="J146" s="38">
        <f t="shared" si="1"/>
        <v>0.2076826484</v>
      </c>
      <c r="K146" s="32">
        <f t="shared" si="2"/>
        <v>0.6864347881</v>
      </c>
      <c r="L146" s="34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65.0"/>
    <col customWidth="1" min="3" max="26" width="8.71"/>
  </cols>
  <sheetData>
    <row r="1" ht="21.75" customHeight="1">
      <c r="A1" s="39" t="s">
        <v>320</v>
      </c>
      <c r="B1" s="40"/>
    </row>
    <row r="2" ht="15.0" customHeight="1">
      <c r="A2" s="41" t="s">
        <v>321</v>
      </c>
      <c r="B2" s="41"/>
    </row>
    <row r="3" ht="15.0" customHeight="1">
      <c r="A3" s="41" t="s">
        <v>322</v>
      </c>
      <c r="B3" s="41" t="s">
        <v>323</v>
      </c>
    </row>
    <row r="4" ht="15.0" customHeight="1">
      <c r="A4" s="41" t="s">
        <v>324</v>
      </c>
      <c r="B4" s="41" t="s">
        <v>325</v>
      </c>
    </row>
    <row r="5" ht="15.0" customHeight="1">
      <c r="A5" s="41" t="s">
        <v>326</v>
      </c>
      <c r="B5" s="41" t="s">
        <v>327</v>
      </c>
    </row>
    <row r="6" ht="15.0" customHeight="1">
      <c r="A6" s="41" t="s">
        <v>328</v>
      </c>
      <c r="B6" s="41" t="s">
        <v>329</v>
      </c>
    </row>
    <row r="7" ht="15.0" customHeight="1">
      <c r="A7" s="41" t="s">
        <v>330</v>
      </c>
      <c r="B7" s="41" t="s">
        <v>331</v>
      </c>
    </row>
    <row r="8" ht="15.0" customHeight="1">
      <c r="A8" s="41" t="s">
        <v>332</v>
      </c>
      <c r="B8" s="41" t="s">
        <v>333</v>
      </c>
    </row>
    <row r="9" ht="15.0" customHeight="1">
      <c r="A9" s="41"/>
      <c r="B9" s="41"/>
    </row>
    <row r="10" ht="15.0" customHeight="1">
      <c r="A10" s="42" t="s">
        <v>334</v>
      </c>
      <c r="B10" s="41"/>
    </row>
    <row r="11" ht="15.0" customHeight="1">
      <c r="A11" s="41" t="s">
        <v>335</v>
      </c>
      <c r="B11" s="41" t="s">
        <v>336</v>
      </c>
    </row>
    <row r="12" ht="15.0" customHeight="1">
      <c r="A12" s="41" t="s">
        <v>337</v>
      </c>
      <c r="B12" s="41" t="s">
        <v>338</v>
      </c>
    </row>
    <row r="13" ht="15.0" customHeight="1">
      <c r="A13" s="41" t="s">
        <v>339</v>
      </c>
      <c r="B13" s="41" t="s">
        <v>340</v>
      </c>
    </row>
    <row r="14" ht="15.0" customHeight="1">
      <c r="A14" s="41" t="s">
        <v>341</v>
      </c>
      <c r="B14" s="41" t="s">
        <v>342</v>
      </c>
    </row>
    <row r="15" ht="15.0" customHeight="1">
      <c r="A15" s="41" t="s">
        <v>343</v>
      </c>
      <c r="B15" s="41" t="s">
        <v>344</v>
      </c>
    </row>
    <row r="16" ht="15.0" customHeight="1">
      <c r="A16" s="41"/>
      <c r="B16" s="41"/>
    </row>
    <row r="17" ht="15.0" customHeight="1">
      <c r="A17" s="41" t="s">
        <v>345</v>
      </c>
      <c r="B17" s="41"/>
    </row>
    <row r="18" ht="15.0" customHeight="1">
      <c r="A18" s="42" t="s">
        <v>312</v>
      </c>
      <c r="B18" s="41" t="s">
        <v>346</v>
      </c>
    </row>
    <row r="19" ht="15.0" customHeight="1">
      <c r="A19" s="42" t="s">
        <v>313</v>
      </c>
      <c r="B19" s="41" t="s">
        <v>347</v>
      </c>
    </row>
    <row r="20" ht="15.0" customHeight="1">
      <c r="A20" s="42" t="s">
        <v>314</v>
      </c>
      <c r="B20" s="41" t="s">
        <v>348</v>
      </c>
    </row>
    <row r="21" ht="15.0" customHeight="1">
      <c r="A21" s="42" t="s">
        <v>315</v>
      </c>
      <c r="B21" s="41" t="s">
        <v>349</v>
      </c>
    </row>
    <row r="22" ht="15.0" customHeight="1">
      <c r="A22" s="42" t="s">
        <v>316</v>
      </c>
      <c r="B22" s="41" t="s">
        <v>350</v>
      </c>
    </row>
    <row r="23" ht="15.0" customHeight="1">
      <c r="A23" s="42" t="s">
        <v>317</v>
      </c>
      <c r="B23" s="41" t="s">
        <v>351</v>
      </c>
    </row>
    <row r="24" ht="15.0" customHeight="1">
      <c r="A24" s="42" t="s">
        <v>318</v>
      </c>
      <c r="B24" s="41" t="s">
        <v>352</v>
      </c>
    </row>
    <row r="25" ht="15.0" customHeight="1">
      <c r="A25" s="42" t="s">
        <v>319</v>
      </c>
      <c r="B25" s="41" t="s">
        <v>353</v>
      </c>
    </row>
    <row r="26" ht="15.0" customHeight="1">
      <c r="A26" s="41"/>
      <c r="B26" s="41"/>
    </row>
    <row r="27" ht="15.0" customHeight="1">
      <c r="A27" s="42" t="s">
        <v>354</v>
      </c>
      <c r="B27" s="41" t="s">
        <v>355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2026-05-02T13:42:44Z</dcterms:created>
  <dc:creator>openpyxl</dc:creator>
</cp:coreProperties>
</file>